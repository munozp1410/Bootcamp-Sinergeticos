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📊 Resumen Ejecutivo" sheetId="2" state="visible" r:id="rId2"/>
    <sheet name="🎯 Leads &amp; Canales" sheetId="3" state="visible" r:id="rId3"/>
    <sheet name="🔴 Evento en Vivo" sheetId="4" state="visible" r:id="rId4"/>
    <sheet name="⚫ Ventas Black" sheetId="5" state="visible" r:id="rId5"/>
    <sheet name="📋 Seguimiento" sheetId="6" state="visible" r:id="rId6"/>
    <sheet name="💡 KPIs Recomendados" sheetId="7" state="visible" r:id="rId7"/>
    <sheet name="👤 Buyer Persona Bla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"/>
    <numFmt numFmtId="165" formatCode="$#,##0.00"/>
    <numFmt numFmtId="166" formatCode="0.000%"/>
    <numFmt numFmtId="167" formatCode="0.0%"/>
    <numFmt numFmtId="168" formatCode="DD/MM/YYYY"/>
    <numFmt numFmtId="169" formatCode="0.00&quot;x&quot;"/>
    <numFmt numFmtId="170" formatCode="#,##0.00&quot; MXN&quot;"/>
  </numFmts>
  <fonts count="85">
    <font>
      <name val="Calibri"/>
      <family val="2"/>
      <color theme="1"/>
      <sz val="11"/>
      <scheme val="minor"/>
    </font>
    <font>
      <name val="Calibri"/>
      <b val="1"/>
      <color rgb="00D63B2F"/>
      <sz val="20"/>
    </font>
    <font>
      <name val="Calibri"/>
      <i val="1"/>
      <color rgb="00FFFFFF"/>
      <sz val="11"/>
    </font>
    <font>
      <name val="Calibri"/>
      <b val="1"/>
      <color rgb="FFFFFFFF"/>
      <sz val="10"/>
    </font>
    <font>
      <name val="Calibri"/>
      <b val="1"/>
      <color rgb="00FFFFFF"/>
      <sz val="10"/>
    </font>
    <font>
      <name val="Calibri"/>
      <color rgb="FFFFFFFF"/>
      <sz val="10"/>
    </font>
    <font>
      <name val="Calibri"/>
      <color rgb="FF1A1A1A"/>
      <sz val="10"/>
    </font>
    <font>
      <name val="Calibri"/>
      <color rgb="001A1A1A"/>
      <sz val="10"/>
    </font>
    <font>
      <name val="Calibri"/>
      <b val="1"/>
      <color rgb="00D63B2F"/>
      <sz val="10"/>
    </font>
    <font>
      <name val="Calibri"/>
      <i val="1"/>
      <color rgb="FF795548"/>
      <sz val="9"/>
    </font>
    <font>
      <name val="Calibri"/>
      <b val="1"/>
      <color rgb="00D63B2F"/>
      <sz val="16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rgb="001A1A1A"/>
      <sz val="10"/>
    </font>
    <font>
      <name val="Calibri"/>
      <b val="1"/>
      <color rgb="00D63B2F"/>
      <sz val="11"/>
    </font>
    <font>
      <name val="Calibri"/>
      <b val="1"/>
      <color rgb="FF1A1A1A"/>
      <sz val="10"/>
    </font>
    <font>
      <name val="Calibri"/>
      <i val="1"/>
      <color rgb="FFFFFFFF"/>
      <sz val="10"/>
    </font>
    <font>
      <name val="Calibri"/>
      <color rgb="001A1A1A"/>
      <sz val="9"/>
    </font>
    <font>
      <name val="Calibri"/>
      <b val="1"/>
      <color rgb="00D63B2F"/>
      <sz val="18"/>
    </font>
    <font>
      <name val="Calibri"/>
      <b val="1"/>
      <color rgb="00F1C40F"/>
      <sz val="10"/>
    </font>
    <font>
      <name val="Calibri"/>
      <color rgb="FF5D4037"/>
      <sz val="10"/>
    </font>
    <font>
      <name val="Calibri"/>
      <b val="1"/>
      <color rgb="00FFFFFF"/>
      <sz val="16"/>
    </font>
    <font>
      <name val="Calibri"/>
      <i val="1"/>
      <color rgb="00AAAAAA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i val="1"/>
      <color rgb="00777777"/>
      <sz val="9"/>
    </font>
    <font>
      <name val="Calibri"/>
      <color rgb="00C0392B"/>
      <sz val="11"/>
    </font>
    <font>
      <name val="Calibri"/>
      <color rgb="00000000"/>
      <sz val="11"/>
    </font>
    <font>
      <name val="Calibri"/>
      <color rgb="00D4AC0D"/>
      <sz val="9"/>
    </font>
    <font>
      <name val="Calibri"/>
      <color rgb="00FFFFFF"/>
      <sz val="10"/>
    </font>
    <font>
      <name val="Calibri"/>
      <i val="1"/>
      <color rgb="00D4AC0D"/>
      <sz val="9"/>
    </font>
    <font>
      <name val="Calibri"/>
      <b val="1"/>
      <color rgb="00000000"/>
      <sz val="11"/>
    </font>
    <font>
      <name val="Calibri"/>
      <i val="1"/>
      <color rgb="00000000"/>
      <sz val="9"/>
    </font>
    <font>
      <name val="Calibri"/>
      <b val="1"/>
      <color rgb="00FFFFFF"/>
      <sz val="9"/>
    </font>
    <font>
      <name val="Calibri"/>
      <b val="1"/>
      <color rgb="00D4AC0D"/>
      <sz val="11"/>
    </font>
    <font>
      <name val="Calibri"/>
      <i val="1"/>
      <color rgb="00888888"/>
      <sz val="8"/>
    </font>
    <font>
      <name val="Calibri"/>
      <b val="1"/>
      <color rgb="00FFFFFF"/>
      <sz val="18"/>
    </font>
    <font>
      <name val="Calibri"/>
      <i val="1"/>
      <color rgb="00BBBBBB"/>
      <sz val="10"/>
    </font>
    <font>
      <name val="Calibri"/>
      <color rgb="00222222"/>
      <sz val="10"/>
    </font>
    <font>
      <name val="Calibri"/>
      <color rgb="00000000"/>
      <sz val="10"/>
    </font>
    <font>
      <name val="Calibri"/>
      <i val="1"/>
      <color rgb="00666666"/>
      <sz val="9"/>
    </font>
    <font>
      <name val="Calibri"/>
      <color rgb="00B03020"/>
      <sz val="10"/>
    </font>
    <font>
      <name val="Calibri"/>
      <b val="1"/>
      <color rgb="007A5C00"/>
      <sz val="10"/>
    </font>
    <font>
      <name val="Calibri"/>
      <b val="1"/>
      <color rgb="00333333"/>
      <sz val="10"/>
    </font>
    <font>
      <name val="Calibri"/>
      <b val="1"/>
      <color rgb="00B03020"/>
      <sz val="10"/>
    </font>
    <font>
      <name val="Calibri"/>
      <i val="1"/>
      <color rgb="00666666"/>
      <sz val="10"/>
    </font>
    <font>
      <name val="Calibri"/>
      <color rgb="00666666"/>
      <sz val="10"/>
    </font>
    <font>
      <name val="Calibri"/>
      <i val="1"/>
      <color rgb="00555555"/>
      <sz val="10"/>
    </font>
    <font>
      <name val="Calibri"/>
      <i val="1"/>
      <color rgb="00AAAAAA"/>
      <sz val="9"/>
    </font>
    <font>
      <name val="Calibri"/>
      <color rgb="00333333"/>
      <sz val="10"/>
    </font>
    <font>
      <name val="Calibri"/>
      <color rgb="007A5C00"/>
      <sz val="9"/>
    </font>
    <font>
      <name val="Calibri"/>
      <b val="1"/>
      <color rgb="00155A2D"/>
      <sz val="10"/>
    </font>
    <font>
      <name val="Calibri"/>
      <i val="1"/>
      <color rgb="00B03020"/>
      <sz val="10"/>
    </font>
    <font>
      <name val="Calibri"/>
      <b val="1"/>
      <color rgb="00222222"/>
      <sz val="10"/>
    </font>
    <font>
      <name val="Calibri"/>
      <i val="1"/>
      <color rgb="007A5C00"/>
      <sz val="9"/>
    </font>
    <font>
      <name val="Calibri"/>
      <i val="1"/>
      <color rgb="00AAAAAA"/>
      <sz val="8"/>
    </font>
    <font>
      <name val="Calibri"/>
      <i val="1"/>
      <color rgb="00444444"/>
      <sz val="9"/>
    </font>
    <font>
      <name val="Calibri"/>
      <b val="1"/>
      <color rgb="00D4A843"/>
      <sz val="18"/>
    </font>
    <font>
      <name val="Calibri"/>
      <b val="1"/>
      <color rgb="00D4A843"/>
      <sz val="12"/>
    </font>
    <font>
      <name val="Calibri"/>
      <color rgb="00263238"/>
      <sz val="10"/>
    </font>
    <font>
      <name val="Calibri"/>
      <i val="1"/>
      <color rgb="00FFFFFF"/>
      <sz val="10"/>
    </font>
    <font>
      <name val="Calibri"/>
      <i val="1"/>
      <color rgb="00263238"/>
      <sz val="10"/>
    </font>
    <font>
      <name val="Calibri"/>
      <b val="1"/>
      <color rgb="00263238"/>
      <sz val="10"/>
    </font>
    <font>
      <name val="Calibri"/>
      <b val="1"/>
      <color rgb="001A6B31"/>
      <sz val="10"/>
    </font>
    <font>
      <name val="Calibri"/>
      <b val="1"/>
      <color rgb="00D4A843"/>
      <sz val="10"/>
    </font>
    <font>
      <name val="Calibri"/>
      <i val="1"/>
      <color rgb="00D4A843"/>
      <sz val="10"/>
    </font>
    <font>
      <name val="Calibri"/>
      <b val="1"/>
      <color rgb="001B2B5B"/>
      <sz val="10"/>
    </font>
    <font>
      <name val="Calibri"/>
      <b val="1"/>
      <color rgb="001B2B5B"/>
      <sz val="12"/>
    </font>
    <font>
      <name val="Calibri"/>
      <b val="1"/>
      <color rgb="001A6B31"/>
      <sz val="11"/>
    </font>
    <font>
      <name val="Calibri"/>
      <b val="1"/>
      <color rgb="001A6B31"/>
      <sz val="13"/>
    </font>
    <font>
      <name val="Calibri"/>
      <color rgb="00263238"/>
      <sz val="9"/>
    </font>
    <font>
      <name val="Calibri"/>
      <b val="1"/>
      <color rgb="00A05000"/>
      <sz val="11"/>
    </font>
    <font>
      <name val="Calibri"/>
      <b val="1"/>
      <color rgb="00A05000"/>
      <sz val="13"/>
    </font>
    <font>
      <name val="Calibri"/>
      <b val="1"/>
      <color rgb="00B71C1C"/>
      <sz val="11"/>
    </font>
    <font>
      <name val="Calibri"/>
      <b val="1"/>
      <color rgb="00B71C1C"/>
      <sz val="13"/>
    </font>
    <font>
      <name val="Calibri"/>
      <b val="1"/>
      <color rgb="001B2B5B"/>
      <sz val="11"/>
    </font>
    <font>
      <name val="Calibri"/>
      <b val="1"/>
      <color rgb="001B2B5B"/>
      <sz val="13"/>
    </font>
    <font>
      <name val="Calibri"/>
      <i val="1"/>
      <color rgb="00D4A843"/>
      <sz val="9"/>
    </font>
    <font>
      <name val="Calibri"/>
      <i val="1"/>
      <color rgb="00E8EEF9"/>
      <sz val="9"/>
    </font>
    <font>
      <name val="Calibri"/>
      <i val="1"/>
      <color rgb="00263238"/>
      <sz val="9"/>
    </font>
    <font>
      <name val="Calibri"/>
      <i val="1"/>
      <color rgb="00FFFFFF"/>
      <sz val="9"/>
    </font>
    <font>
      <name val="Calibri"/>
      <b val="1"/>
      <color rgb="00263238"/>
      <sz val="11"/>
    </font>
    <font>
      <name val="Calibri"/>
      <b val="1"/>
      <color rgb="001A6B31"/>
      <sz val="14"/>
    </font>
    <font>
      <name val="Calibri"/>
      <i val="1"/>
      <color rgb="00E8EEF9"/>
      <sz val="8"/>
    </font>
    <font>
      <name val="Calibri"/>
      <i val="1"/>
      <color rgb="00D4A843"/>
      <sz val="8"/>
    </font>
  </fonts>
  <fills count="61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D63B2F"/>
      </patternFill>
    </fill>
    <fill>
      <patternFill patternType="solid">
        <fgColor rgb="FFE8640C"/>
      </patternFill>
    </fill>
    <fill>
      <patternFill patternType="solid">
        <fgColor rgb="FF444444"/>
      </patternFill>
    </fill>
    <fill>
      <patternFill patternType="solid">
        <fgColor rgb="FF2D2D2D"/>
      </patternFill>
    </fill>
    <fill>
      <patternFill patternType="solid">
        <fgColor rgb="FFF5F5F5"/>
      </patternFill>
    </fill>
    <fill>
      <patternFill patternType="solid">
        <fgColor rgb="FFFEF9EF"/>
      </patternFill>
    </fill>
    <fill>
      <patternFill patternType="solid">
        <fgColor rgb="FFEEEEEE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008B0000"/>
      </patternFill>
    </fill>
    <fill>
      <patternFill patternType="solid">
        <fgColor rgb="FF8B0000"/>
      </patternFill>
    </fill>
    <fill>
      <patternFill patternType="solid">
        <fgColor rgb="00B71C1C"/>
      </patternFill>
    </fill>
    <fill>
      <patternFill patternType="solid">
        <fgColor rgb="FFB71C1C"/>
      </patternFill>
    </fill>
    <fill>
      <patternFill patternType="solid">
        <fgColor rgb="00D32F2F"/>
      </patternFill>
    </fill>
    <fill>
      <patternFill patternType="solid">
        <fgColor rgb="FFD32F2F"/>
      </patternFill>
    </fill>
    <fill>
      <patternFill patternType="solid">
        <fgColor rgb="FFEBF5EB"/>
      </patternFill>
    </fill>
    <fill>
      <patternFill patternType="solid">
        <fgColor rgb="FF1A1A2E"/>
      </patternFill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0F3460"/>
        <bgColor rgb="000F3460"/>
      </patternFill>
    </fill>
    <fill>
      <patternFill patternType="solid">
        <fgColor rgb="00EBF5FB"/>
        <bgColor rgb="00EBF5FB"/>
      </patternFill>
    </fill>
    <fill>
      <patternFill patternType="solid">
        <fgColor rgb="002C3E50"/>
        <bgColor rgb="002C3E50"/>
      </patternFill>
    </fill>
    <fill>
      <patternFill patternType="solid">
        <fgColor rgb="001E8449"/>
        <bgColor rgb="001E8449"/>
      </patternFill>
    </fill>
    <fill>
      <patternFill patternType="solid">
        <fgColor rgb="0027AE60"/>
        <bgColor rgb="0027AE60"/>
      </patternFill>
    </fill>
    <fill>
      <patternFill patternType="solid">
        <fgColor rgb="00B7770D"/>
        <bgColor rgb="00B7770D"/>
      </patternFill>
    </fill>
    <fill>
      <patternFill patternType="solid">
        <fgColor rgb="00C0392B"/>
        <bgColor rgb="00C0392B"/>
      </patternFill>
    </fill>
    <fill>
      <patternFill patternType="solid">
        <fgColor rgb="00922B21"/>
        <bgColor rgb="00922B21"/>
      </patternFill>
    </fill>
    <fill>
      <patternFill patternType="solid">
        <fgColor rgb="001A5276"/>
        <bgColor rgb="001A5276"/>
      </patternFill>
    </fill>
    <fill>
      <patternFill patternType="solid">
        <fgColor rgb="000D0D1A"/>
        <bgColor rgb="000D0D1A"/>
      </patternFill>
    </fill>
    <fill>
      <patternFill patternType="solid">
        <fgColor rgb="001A1A3E"/>
        <bgColor rgb="001A1A3E"/>
      </patternFill>
    </fill>
    <fill>
      <patternFill patternType="solid">
        <fgColor rgb="001F3A93"/>
        <bgColor rgb="001F3A93"/>
      </patternFill>
    </fill>
    <fill>
      <patternFill patternType="solid">
        <fgColor rgb="00FDECEA"/>
        <bgColor rgb="00FDECEA"/>
      </patternFill>
    </fill>
    <fill>
      <patternFill patternType="solid">
        <fgColor rgb="00FFF3CD"/>
        <bgColor rgb="00FFF3CD"/>
      </patternFill>
    </fill>
    <fill>
      <patternFill patternType="solid">
        <fgColor rgb="00F9F9F9"/>
        <bgColor rgb="00F9F9F9"/>
      </patternFill>
    </fill>
    <fill>
      <patternFill patternType="solid">
        <fgColor rgb="002E4BC6"/>
        <bgColor rgb="002E4BC6"/>
      </patternFill>
    </fill>
    <fill>
      <patternFill patternType="solid">
        <fgColor rgb="00EEF2FC"/>
        <bgColor rgb="00EEF2FC"/>
      </patternFill>
    </fill>
    <fill>
      <patternFill patternType="solid">
        <fgColor rgb="00F5F5F5"/>
        <bgColor rgb="00F5F5F5"/>
      </patternFill>
    </fill>
    <fill>
      <patternFill patternType="solid">
        <fgColor rgb="002A2A4E"/>
        <bgColor rgb="002A2A4E"/>
      </patternFill>
    </fill>
    <fill>
      <patternFill patternType="solid">
        <fgColor rgb="001A6B35"/>
        <bgColor rgb="001A6B35"/>
      </patternFill>
    </fill>
    <fill>
      <patternFill patternType="solid">
        <fgColor rgb="007D5A00"/>
        <bgColor rgb="007D5A00"/>
      </patternFill>
    </fill>
    <fill>
      <patternFill patternType="solid">
        <fgColor rgb="00B03020"/>
        <bgColor rgb="00B03020"/>
      </patternFill>
    </fill>
    <fill>
      <patternFill patternType="solid">
        <fgColor rgb="008B1A0A"/>
        <bgColor rgb="008B1A0A"/>
      </patternFill>
    </fill>
    <fill>
      <patternFill patternType="solid">
        <fgColor rgb="00F0F0F0"/>
        <bgColor rgb="00F0F0F0"/>
      </patternFill>
    </fill>
    <fill>
      <patternFill patternType="solid">
        <fgColor rgb="00D5EFDF"/>
        <bgColor rgb="00D5EFDF"/>
      </patternFill>
    </fill>
    <fill>
      <patternFill patternType="solid">
        <fgColor rgb="00D4EDDA"/>
        <bgColor rgb="00D4EDDA"/>
      </patternFill>
    </fill>
    <fill>
      <patternFill patternType="solid">
        <fgColor rgb="001B2B5B"/>
      </patternFill>
    </fill>
    <fill>
      <patternFill patternType="solid">
        <fgColor rgb="00263238"/>
      </patternFill>
    </fill>
    <fill>
      <patternFill patternType="solid">
        <fgColor rgb="001A6B31"/>
      </patternFill>
    </fill>
    <fill>
      <patternFill patternType="solid">
        <fgColor rgb="00E8EEF9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D4A843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1565C0"/>
      </patternFill>
    </fill>
    <fill>
      <patternFill patternType="solid">
        <fgColor rgb="00F9A825"/>
      </patternFill>
    </fill>
  </fills>
  <borders count="1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center" vertical="center" wrapText="1"/>
    </xf>
    <xf numFmtId="3" fontId="6" fillId="8" borderId="1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6" fillId="7" borderId="1" applyAlignment="1" pivotButton="0" quotePrefix="0" xfId="0">
      <alignment horizontal="center" vertical="center" wrapText="1"/>
    </xf>
    <xf numFmtId="10" fontId="6" fillId="8" borderId="1" applyAlignment="1" pivotButton="0" quotePrefix="0" xfId="0">
      <alignment horizontal="center" vertical="center" wrapText="1"/>
    </xf>
    <xf numFmtId="10" fontId="6" fillId="9" borderId="1" applyAlignment="1" pivotButton="0" quotePrefix="0" xfId="0">
      <alignment horizontal="center" vertical="center" wrapText="1"/>
    </xf>
    <xf numFmtId="10" fontId="7" fillId="9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166" fontId="6" fillId="7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166" fontId="6" fillId="9" borderId="1" applyAlignment="1" pivotButton="0" quotePrefix="0" xfId="0">
      <alignment horizontal="center" vertical="center" wrapText="1"/>
    </xf>
    <xf numFmtId="166" fontId="7" fillId="9" borderId="1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3" fontId="6" fillId="11" borderId="1" applyAlignment="1" pivotButton="0" quotePrefix="0" xfId="0">
      <alignment horizontal="center" vertical="center" wrapText="1"/>
    </xf>
    <xf numFmtId="167" fontId="7" fillId="9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7" fontId="4" fillId="2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3" fontId="7" fillId="11" borderId="1" applyAlignment="1" pivotButton="0" quotePrefix="0" xfId="0">
      <alignment horizontal="center" vertical="center" wrapText="1"/>
    </xf>
    <xf numFmtId="10" fontId="7" fillId="11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0" fontId="7" fillId="7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3" fontId="13" fillId="8" borderId="1" applyAlignment="1" pivotButton="0" quotePrefix="0" xfId="0">
      <alignment horizontal="center" vertical="center" wrapText="1"/>
    </xf>
    <xf numFmtId="10" fontId="13" fillId="8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165" fontId="3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 wrapText="1"/>
    </xf>
    <xf numFmtId="168" fontId="17" fillId="11" borderId="1" applyAlignment="1" pivotButton="0" quotePrefix="0" xfId="0">
      <alignment horizontal="left" vertical="center" wrapText="1"/>
    </xf>
    <xf numFmtId="164" fontId="17" fillId="11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168" fontId="17" fillId="7" borderId="1" applyAlignment="1" pivotButton="0" quotePrefix="0" xfId="0">
      <alignment horizontal="left" vertical="center" wrapText="1"/>
    </xf>
    <xf numFmtId="164" fontId="17" fillId="7" borderId="1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11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19" fillId="19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  <xf numFmtId="0" fontId="21" fillId="20" borderId="5" applyAlignment="1" pivotButton="0" quotePrefix="0" xfId="0">
      <alignment horizontal="center" vertical="center"/>
    </xf>
    <xf numFmtId="0" fontId="22" fillId="21" borderId="5" applyAlignment="1" pivotButton="0" quotePrefix="0" xfId="0">
      <alignment horizontal="center" vertical="center"/>
    </xf>
    <xf numFmtId="0" fontId="23" fillId="21" borderId="5" applyAlignment="1" pivotButton="0" quotePrefix="0" xfId="0">
      <alignment horizontal="left" vertical="center"/>
    </xf>
    <xf numFmtId="0" fontId="4" fillId="22" borderId="5" applyAlignment="1" pivotButton="0" quotePrefix="0" xfId="0">
      <alignment horizontal="center" vertical="center"/>
    </xf>
    <xf numFmtId="0" fontId="0" fillId="0" borderId="8" pivotButton="0" quotePrefix="0" xfId="0"/>
    <xf numFmtId="0" fontId="24" fillId="22" borderId="5" applyAlignment="1" pivotButton="0" quotePrefix="0" xfId="0">
      <alignment horizontal="left" vertical="center"/>
    </xf>
    <xf numFmtId="3" fontId="24" fillId="22" borderId="5" applyAlignment="1" pivotButton="0" quotePrefix="0" xfId="0">
      <alignment horizontal="right" vertical="center"/>
    </xf>
    <xf numFmtId="0" fontId="24" fillId="22" borderId="5" applyAlignment="1" pivotButton="0" quotePrefix="0" xfId="0">
      <alignment horizontal="center" vertical="center"/>
    </xf>
    <xf numFmtId="0" fontId="25" fillId="0" borderId="5" applyAlignment="1" pivotButton="0" quotePrefix="0" xfId="0">
      <alignment horizontal="left" vertical="center"/>
    </xf>
    <xf numFmtId="0" fontId="26" fillId="0" borderId="5" applyAlignment="1" pivotButton="0" quotePrefix="0" xfId="0">
      <alignment horizontal="left" vertical="center"/>
    </xf>
    <xf numFmtId="3" fontId="26" fillId="0" borderId="5" applyAlignment="1" pivotButton="0" quotePrefix="0" xfId="0">
      <alignment horizontal="right" vertical="center"/>
    </xf>
    <xf numFmtId="0" fontId="26" fillId="0" borderId="5" applyAlignment="1" pivotButton="0" quotePrefix="0" xfId="0">
      <alignment horizontal="center" vertical="center"/>
    </xf>
    <xf numFmtId="0" fontId="24" fillId="20" borderId="5" applyAlignment="1" pivotButton="0" quotePrefix="0" xfId="0">
      <alignment horizontal="left" vertical="center"/>
    </xf>
    <xf numFmtId="3" fontId="24" fillId="20" borderId="5" applyAlignment="1" pivotButton="0" quotePrefix="0" xfId="0">
      <alignment horizontal="right" vertical="center"/>
    </xf>
    <xf numFmtId="0" fontId="24" fillId="20" borderId="5" applyAlignment="1" pivotButton="0" quotePrefix="0" xfId="0">
      <alignment horizontal="center" vertical="center"/>
    </xf>
    <xf numFmtId="0" fontId="27" fillId="23" borderId="5" applyAlignment="1" pivotButton="0" quotePrefix="0" xfId="0">
      <alignment horizontal="left" vertical="center"/>
    </xf>
    <xf numFmtId="3" fontId="27" fillId="23" borderId="5" applyAlignment="1" pivotButton="0" quotePrefix="0" xfId="0">
      <alignment horizontal="right" vertical="center"/>
    </xf>
    <xf numFmtId="0" fontId="27" fillId="0" borderId="5" applyAlignment="1" pivotButton="0" quotePrefix="0" xfId="0">
      <alignment horizontal="left" vertical="center"/>
    </xf>
    <xf numFmtId="10" fontId="27" fillId="0" borderId="5" applyAlignment="1" pivotButton="0" quotePrefix="0" xfId="0">
      <alignment horizontal="right" vertical="center"/>
    </xf>
    <xf numFmtId="4" fontId="27" fillId="23" borderId="5" applyAlignment="1" pivotButton="0" quotePrefix="0" xfId="0">
      <alignment horizontal="right" vertical="center"/>
    </xf>
    <xf numFmtId="9" fontId="27" fillId="0" borderId="5" applyAlignment="1" pivotButton="0" quotePrefix="0" xfId="0">
      <alignment horizontal="right" vertical="center"/>
    </xf>
    <xf numFmtId="4" fontId="27" fillId="0" borderId="5" applyAlignment="1" pivotButton="0" quotePrefix="0" xfId="0">
      <alignment horizontal="right" vertical="center"/>
    </xf>
    <xf numFmtId="4" fontId="24" fillId="20" borderId="5" applyAlignment="1" pivotButton="0" quotePrefix="0" xfId="0">
      <alignment horizontal="right" vertical="center"/>
    </xf>
    <xf numFmtId="0" fontId="28" fillId="0" borderId="5" applyAlignment="1" pivotButton="0" quotePrefix="0" xfId="0">
      <alignment horizontal="left" vertical="center"/>
    </xf>
    <xf numFmtId="0" fontId="4" fillId="24" borderId="5" applyAlignment="1" pivotButton="0" quotePrefix="0" xfId="0">
      <alignment horizontal="center" vertical="center"/>
    </xf>
    <xf numFmtId="0" fontId="4" fillId="25" borderId="5" applyAlignment="1" pivotButton="0" quotePrefix="0" xfId="0">
      <alignment horizontal="left" vertical="center"/>
    </xf>
    <xf numFmtId="0" fontId="4" fillId="25" borderId="5" applyAlignment="1" pivotButton="0" quotePrefix="0" xfId="0">
      <alignment horizontal="center" vertical="center"/>
    </xf>
    <xf numFmtId="0" fontId="29" fillId="25" borderId="5" applyAlignment="1" pivotButton="0" quotePrefix="0" xfId="0">
      <alignment horizontal="left" vertical="center"/>
    </xf>
    <xf numFmtId="0" fontId="4" fillId="26" borderId="5" applyAlignment="1" pivotButton="0" quotePrefix="0" xfId="0">
      <alignment horizontal="left" vertical="center"/>
    </xf>
    <xf numFmtId="0" fontId="4" fillId="26" borderId="5" applyAlignment="1" pivotButton="0" quotePrefix="0" xfId="0">
      <alignment horizontal="center" vertical="center"/>
    </xf>
    <xf numFmtId="0" fontId="29" fillId="26" borderId="5" applyAlignment="1" pivotButton="0" quotePrefix="0" xfId="0">
      <alignment horizontal="left" vertical="center"/>
    </xf>
    <xf numFmtId="0" fontId="4" fillId="27" borderId="5" applyAlignment="1" pivotButton="0" quotePrefix="0" xfId="0">
      <alignment horizontal="left" vertical="center"/>
    </xf>
    <xf numFmtId="0" fontId="4" fillId="27" borderId="5" applyAlignment="1" pivotButton="0" quotePrefix="0" xfId="0">
      <alignment horizontal="center" vertical="center"/>
    </xf>
    <xf numFmtId="0" fontId="29" fillId="27" borderId="5" applyAlignment="1" pivotButton="0" quotePrefix="0" xfId="0">
      <alignment horizontal="left" vertical="center"/>
    </xf>
    <xf numFmtId="0" fontId="4" fillId="28" borderId="5" applyAlignment="1" pivotButton="0" quotePrefix="0" xfId="0">
      <alignment horizontal="left" vertical="center"/>
    </xf>
    <xf numFmtId="0" fontId="4" fillId="28" borderId="5" applyAlignment="1" pivotButton="0" quotePrefix="0" xfId="0">
      <alignment horizontal="center" vertical="center"/>
    </xf>
    <xf numFmtId="0" fontId="29" fillId="28" borderId="5" applyAlignment="1" pivotButton="0" quotePrefix="0" xfId="0">
      <alignment horizontal="left" vertical="center"/>
    </xf>
    <xf numFmtId="0" fontId="4" fillId="29" borderId="5" applyAlignment="1" pivotButton="0" quotePrefix="0" xfId="0">
      <alignment horizontal="left" vertical="center"/>
    </xf>
    <xf numFmtId="0" fontId="4" fillId="29" borderId="5" applyAlignment="1" pivotButton="0" quotePrefix="0" xfId="0">
      <alignment horizontal="center" vertical="center"/>
    </xf>
    <xf numFmtId="0" fontId="29" fillId="29" borderId="5" applyAlignment="1" pivotButton="0" quotePrefix="0" xfId="0">
      <alignment horizontal="left" vertical="center"/>
    </xf>
    <xf numFmtId="3" fontId="27" fillId="0" borderId="5" applyAlignment="1" pivotButton="0" quotePrefix="0" xfId="0">
      <alignment horizontal="right" vertical="center"/>
    </xf>
    <xf numFmtId="0" fontId="30" fillId="0" borderId="5" applyAlignment="1" pivotButton="0" quotePrefix="0" xfId="0">
      <alignment horizontal="left" vertical="center"/>
    </xf>
    <xf numFmtId="169" fontId="24" fillId="20" borderId="5" applyAlignment="1" pivotButton="0" quotePrefix="0" xfId="0">
      <alignment horizontal="right" vertical="center"/>
    </xf>
    <xf numFmtId="0" fontId="31" fillId="23" borderId="5" applyAlignment="1" pivotButton="0" quotePrefix="0" xfId="0">
      <alignment horizontal="left" vertical="center"/>
    </xf>
    <xf numFmtId="3" fontId="31" fillId="23" borderId="5" applyAlignment="1" pivotButton="0" quotePrefix="0" xfId="0">
      <alignment horizontal="right" vertical="center"/>
    </xf>
    <xf numFmtId="49" fontId="27" fillId="0" borderId="5" applyAlignment="1" pivotButton="0" quotePrefix="0" xfId="0">
      <alignment horizontal="right" vertical="center"/>
    </xf>
    <xf numFmtId="3" fontId="24" fillId="28" borderId="5" applyAlignment="1" pivotButton="0" quotePrefix="0" xfId="0">
      <alignment horizontal="right" vertical="center"/>
    </xf>
    <xf numFmtId="3" fontId="24" fillId="27" borderId="5" applyAlignment="1" pivotButton="0" quotePrefix="0" xfId="0">
      <alignment horizontal="right" vertical="center"/>
    </xf>
    <xf numFmtId="0" fontId="4" fillId="22" borderId="5" applyAlignment="1" pivotButton="0" quotePrefix="0" xfId="0">
      <alignment horizontal="left" vertical="center"/>
    </xf>
    <xf numFmtId="3" fontId="24" fillId="25" borderId="5" applyAlignment="1" pivotButton="0" quotePrefix="0" xfId="0">
      <alignment horizontal="right" vertical="center"/>
    </xf>
    <xf numFmtId="0" fontId="4" fillId="30" borderId="5" applyAlignment="1" pivotButton="0" quotePrefix="0" xfId="0">
      <alignment horizontal="left" vertical="center"/>
    </xf>
    <xf numFmtId="3" fontId="24" fillId="30" borderId="5" applyAlignment="1" pivotButton="0" quotePrefix="0" xfId="0">
      <alignment horizontal="right" vertical="center"/>
    </xf>
    <xf numFmtId="0" fontId="32" fillId="23" borderId="5" applyAlignment="1" pivotButton="0" quotePrefix="0" xfId="0">
      <alignment horizontal="left" vertical="center"/>
    </xf>
    <xf numFmtId="0" fontId="32" fillId="0" borderId="5" applyAlignment="1" pivotButton="0" quotePrefix="0" xfId="0">
      <alignment horizontal="left" vertical="center"/>
    </xf>
    <xf numFmtId="0" fontId="33" fillId="20" borderId="5" applyAlignment="1" pivotButton="0" quotePrefix="0" xfId="0">
      <alignment horizontal="left" vertical="center"/>
    </xf>
    <xf numFmtId="0" fontId="25" fillId="0" borderId="5" applyAlignment="1" pivotButton="0" quotePrefix="0" xfId="0">
      <alignment horizontal="left" vertical="center" wrapText="1"/>
    </xf>
    <xf numFmtId="0" fontId="21" fillId="20" borderId="5" applyAlignment="1" pivotButton="0" quotePrefix="0" xfId="0">
      <alignment horizontal="center" vertical="center"/>
    </xf>
    <xf numFmtId="0" fontId="22" fillId="21" borderId="5" applyAlignment="1" pivotButton="0" quotePrefix="0" xfId="0">
      <alignment horizontal="center" vertical="center"/>
    </xf>
    <xf numFmtId="0" fontId="23" fillId="21" borderId="5" applyAlignment="1" pivotButton="0" quotePrefix="0" xfId="0">
      <alignment horizontal="left" vertical="center"/>
    </xf>
    <xf numFmtId="0" fontId="4" fillId="22" borderId="5" applyAlignment="1" pivotButton="0" quotePrefix="0" xfId="0">
      <alignment horizontal="center" vertical="center"/>
    </xf>
    <xf numFmtId="0" fontId="27" fillId="0" borderId="5" applyAlignment="1" pivotButton="0" quotePrefix="0" xfId="0">
      <alignment horizontal="left" vertical="center"/>
    </xf>
    <xf numFmtId="3" fontId="27" fillId="0" borderId="5" applyAlignment="1" pivotButton="0" quotePrefix="0" xfId="0">
      <alignment horizontal="right" vertical="center"/>
    </xf>
    <xf numFmtId="0" fontId="27" fillId="0" borderId="5" applyAlignment="1" pivotButton="0" quotePrefix="0" xfId="0">
      <alignment horizontal="center" vertical="center"/>
    </xf>
    <xf numFmtId="0" fontId="25" fillId="0" borderId="5" applyAlignment="1" pivotButton="0" quotePrefix="0" xfId="0">
      <alignment horizontal="left" vertical="center"/>
    </xf>
    <xf numFmtId="0" fontId="26" fillId="0" borderId="5" applyAlignment="1" pivotButton="0" quotePrefix="0" xfId="0">
      <alignment horizontal="left" vertical="center"/>
    </xf>
    <xf numFmtId="3" fontId="26" fillId="0" borderId="5" applyAlignment="1" pivotButton="0" quotePrefix="0" xfId="0">
      <alignment horizontal="right" vertical="center"/>
    </xf>
    <xf numFmtId="0" fontId="26" fillId="0" borderId="5" applyAlignment="1" pivotButton="0" quotePrefix="0" xfId="0">
      <alignment horizontal="center" vertical="center"/>
    </xf>
    <xf numFmtId="0" fontId="24" fillId="20" borderId="5" applyAlignment="1" pivotButton="0" quotePrefix="0" xfId="0">
      <alignment horizontal="left" vertical="center"/>
    </xf>
    <xf numFmtId="3" fontId="24" fillId="20" borderId="5" applyAlignment="1" pivotButton="0" quotePrefix="0" xfId="0">
      <alignment horizontal="right" vertical="center"/>
    </xf>
    <xf numFmtId="0" fontId="24" fillId="20" borderId="5" applyAlignment="1" pivotButton="0" quotePrefix="0" xfId="0">
      <alignment horizontal="center" vertical="center"/>
    </xf>
    <xf numFmtId="0" fontId="24" fillId="22" borderId="5" applyAlignment="1" pivotButton="0" quotePrefix="0" xfId="0">
      <alignment horizontal="left" vertical="center"/>
    </xf>
    <xf numFmtId="49" fontId="24" fillId="22" borderId="5" applyAlignment="1" pivotButton="0" quotePrefix="0" xfId="0">
      <alignment horizontal="right" vertical="center"/>
    </xf>
    <xf numFmtId="0" fontId="24" fillId="22" borderId="5" applyAlignment="1" pivotButton="0" quotePrefix="0" xfId="0">
      <alignment horizontal="center" vertical="center"/>
    </xf>
    <xf numFmtId="49" fontId="27" fillId="0" borderId="5" applyAlignment="1" pivotButton="0" quotePrefix="0" xfId="0">
      <alignment horizontal="right" vertical="center"/>
    </xf>
    <xf numFmtId="0" fontId="27" fillId="23" borderId="5" applyAlignment="1" pivotButton="0" quotePrefix="0" xfId="0">
      <alignment horizontal="left" vertical="center"/>
    </xf>
    <xf numFmtId="3" fontId="27" fillId="23" borderId="5" applyAlignment="1" pivotButton="0" quotePrefix="0" xfId="0">
      <alignment horizontal="right" vertical="center"/>
    </xf>
    <xf numFmtId="10" fontId="27" fillId="0" borderId="5" applyAlignment="1" pivotButton="0" quotePrefix="0" xfId="0">
      <alignment horizontal="right" vertical="center"/>
    </xf>
    <xf numFmtId="4" fontId="27" fillId="23" borderId="5" applyAlignment="1" pivotButton="0" quotePrefix="0" xfId="0">
      <alignment horizontal="right" vertical="center"/>
    </xf>
    <xf numFmtId="4" fontId="26" fillId="0" borderId="5" applyAlignment="1" pivotButton="0" quotePrefix="0" xfId="0">
      <alignment horizontal="right" vertical="center"/>
    </xf>
    <xf numFmtId="0" fontId="26" fillId="23" borderId="5" applyAlignment="1" pivotButton="0" quotePrefix="0" xfId="0">
      <alignment horizontal="left" vertical="center"/>
    </xf>
    <xf numFmtId="4" fontId="26" fillId="23" borderId="5" applyAlignment="1" pivotButton="0" quotePrefix="0" xfId="0">
      <alignment horizontal="right" vertical="center"/>
    </xf>
    <xf numFmtId="4" fontId="24" fillId="20" borderId="5" applyAlignment="1" pivotButton="0" quotePrefix="0" xfId="0">
      <alignment horizontal="right" vertical="center"/>
    </xf>
    <xf numFmtId="0" fontId="28" fillId="0" borderId="5" applyAlignment="1" pivotButton="0" quotePrefix="0" xfId="0">
      <alignment horizontal="left" vertical="center"/>
    </xf>
    <xf numFmtId="0" fontId="4" fillId="24" borderId="5" applyAlignment="1" pivotButton="0" quotePrefix="0" xfId="0">
      <alignment horizontal="center" vertical="center"/>
    </xf>
    <xf numFmtId="0" fontId="4" fillId="25" borderId="5" applyAlignment="1" pivotButton="0" quotePrefix="0" xfId="0">
      <alignment horizontal="left" vertical="center"/>
    </xf>
    <xf numFmtId="0" fontId="4" fillId="25" borderId="5" applyAlignment="1" pivotButton="0" quotePrefix="0" xfId="0">
      <alignment horizontal="center" vertical="center"/>
    </xf>
    <xf numFmtId="0" fontId="29" fillId="25" borderId="5" applyAlignment="1" pivotButton="0" quotePrefix="0" xfId="0">
      <alignment horizontal="left" vertical="center"/>
    </xf>
    <xf numFmtId="0" fontId="4" fillId="26" borderId="5" applyAlignment="1" pivotButton="0" quotePrefix="0" xfId="0">
      <alignment horizontal="left" vertical="center"/>
    </xf>
    <xf numFmtId="0" fontId="4" fillId="26" borderId="5" applyAlignment="1" pivotButton="0" quotePrefix="0" xfId="0">
      <alignment horizontal="center" vertical="center"/>
    </xf>
    <xf numFmtId="0" fontId="29" fillId="26" borderId="5" applyAlignment="1" pivotButton="0" quotePrefix="0" xfId="0">
      <alignment horizontal="left" vertical="center"/>
    </xf>
    <xf numFmtId="0" fontId="4" fillId="27" borderId="5" applyAlignment="1" pivotButton="0" quotePrefix="0" xfId="0">
      <alignment horizontal="left" vertical="center"/>
    </xf>
    <xf numFmtId="0" fontId="4" fillId="27" borderId="5" applyAlignment="1" pivotButton="0" quotePrefix="0" xfId="0">
      <alignment horizontal="center" vertical="center"/>
    </xf>
    <xf numFmtId="0" fontId="29" fillId="27" borderId="5" applyAlignment="1" pivotButton="0" quotePrefix="0" xfId="0">
      <alignment horizontal="left" vertical="center"/>
    </xf>
    <xf numFmtId="0" fontId="4" fillId="28" borderId="5" applyAlignment="1" pivotButton="0" quotePrefix="0" xfId="0">
      <alignment horizontal="left" vertical="center"/>
    </xf>
    <xf numFmtId="0" fontId="4" fillId="28" borderId="5" applyAlignment="1" pivotButton="0" quotePrefix="0" xfId="0">
      <alignment horizontal="center" vertical="center"/>
    </xf>
    <xf numFmtId="0" fontId="29" fillId="28" borderId="5" applyAlignment="1" pivotButton="0" quotePrefix="0" xfId="0">
      <alignment horizontal="left" vertical="center"/>
    </xf>
    <xf numFmtId="0" fontId="4" fillId="29" borderId="5" applyAlignment="1" pivotButton="0" quotePrefix="0" xfId="0">
      <alignment horizontal="left" vertical="center"/>
    </xf>
    <xf numFmtId="0" fontId="4" fillId="29" borderId="5" applyAlignment="1" pivotButton="0" quotePrefix="0" xfId="0">
      <alignment horizontal="center" vertical="center"/>
    </xf>
    <xf numFmtId="0" fontId="29" fillId="29" borderId="5" applyAlignment="1" pivotButton="0" quotePrefix="0" xfId="0">
      <alignment horizontal="left" vertical="center"/>
    </xf>
    <xf numFmtId="0" fontId="30" fillId="0" borderId="5" applyAlignment="1" pivotButton="0" quotePrefix="0" xfId="0">
      <alignment horizontal="left" vertical="center"/>
    </xf>
    <xf numFmtId="169" fontId="24" fillId="20" borderId="5" applyAlignment="1" pivotButton="0" quotePrefix="0" xfId="0">
      <alignment horizontal="right" vertical="center"/>
    </xf>
    <xf numFmtId="0" fontId="31" fillId="23" borderId="5" applyAlignment="1" pivotButton="0" quotePrefix="0" xfId="0">
      <alignment horizontal="left" vertical="center"/>
    </xf>
    <xf numFmtId="3" fontId="31" fillId="23" borderId="5" applyAlignment="1" pivotButton="0" quotePrefix="0" xfId="0">
      <alignment horizontal="right" vertical="center"/>
    </xf>
    <xf numFmtId="3" fontId="24" fillId="28" borderId="5" applyAlignment="1" pivotButton="0" quotePrefix="0" xfId="0">
      <alignment horizontal="right" vertical="center"/>
    </xf>
    <xf numFmtId="3" fontId="24" fillId="27" borderId="5" applyAlignment="1" pivotButton="0" quotePrefix="0" xfId="0">
      <alignment horizontal="right" vertical="center"/>
    </xf>
    <xf numFmtId="0" fontId="4" fillId="22" borderId="5" applyAlignment="1" pivotButton="0" quotePrefix="0" xfId="0">
      <alignment horizontal="left" vertical="center"/>
    </xf>
    <xf numFmtId="3" fontId="24" fillId="22" borderId="5" applyAlignment="1" pivotButton="0" quotePrefix="0" xfId="0">
      <alignment horizontal="right" vertical="center"/>
    </xf>
    <xf numFmtId="3" fontId="24" fillId="25" borderId="5" applyAlignment="1" pivotButton="0" quotePrefix="0" xfId="0">
      <alignment horizontal="right" vertical="center"/>
    </xf>
    <xf numFmtId="0" fontId="4" fillId="30" borderId="5" applyAlignment="1" pivotButton="0" quotePrefix="0" xfId="0">
      <alignment horizontal="left" vertical="center"/>
    </xf>
    <xf numFmtId="3" fontId="24" fillId="30" borderId="5" applyAlignment="1" pivotButton="0" quotePrefix="0" xfId="0">
      <alignment horizontal="right" vertical="center"/>
    </xf>
    <xf numFmtId="0" fontId="32" fillId="23" borderId="5" applyAlignment="1" pivotButton="0" quotePrefix="0" xfId="0">
      <alignment horizontal="left" vertical="center"/>
    </xf>
    <xf numFmtId="0" fontId="32" fillId="0" borderId="5" applyAlignment="1" pivotButton="0" quotePrefix="0" xfId="0">
      <alignment horizontal="left" vertical="center"/>
    </xf>
    <xf numFmtId="0" fontId="34" fillId="20" borderId="5" applyAlignment="1" pivotButton="0" quotePrefix="0" xfId="0">
      <alignment horizontal="left" vertical="center"/>
    </xf>
    <xf numFmtId="3" fontId="34" fillId="20" borderId="5" applyAlignment="1" pivotButton="0" quotePrefix="0" xfId="0">
      <alignment horizontal="right" vertical="center"/>
    </xf>
    <xf numFmtId="0" fontId="35" fillId="0" borderId="5" applyAlignment="1" pivotButton="0" quotePrefix="0" xfId="0">
      <alignment horizontal="left" vertical="center"/>
    </xf>
    <xf numFmtId="0" fontId="36" fillId="31" borderId="5" applyAlignment="1" pivotButton="0" quotePrefix="0" xfId="0">
      <alignment horizontal="center" vertical="center"/>
    </xf>
    <xf numFmtId="0" fontId="37" fillId="32" borderId="5" applyAlignment="1" pivotButton="0" quotePrefix="0" xfId="0">
      <alignment horizontal="center" vertical="center"/>
    </xf>
    <xf numFmtId="0" fontId="23" fillId="32" borderId="5" applyAlignment="1" pivotButton="0" quotePrefix="0" xfId="0">
      <alignment horizontal="left" vertical="center"/>
    </xf>
    <xf numFmtId="0" fontId="33" fillId="33" borderId="5" applyAlignment="1" pivotButton="0" quotePrefix="0" xfId="0">
      <alignment horizontal="center" vertical="center" wrapText="1"/>
    </xf>
    <xf numFmtId="0" fontId="38" fillId="0" borderId="5" applyAlignment="1" pivotButton="0" quotePrefix="0" xfId="0">
      <alignment horizontal="left" vertical="center"/>
    </xf>
    <xf numFmtId="3" fontId="39" fillId="0" borderId="5" applyAlignment="1" pivotButton="0" quotePrefix="0" xfId="0">
      <alignment horizontal="right" vertical="center"/>
    </xf>
    <xf numFmtId="0" fontId="38" fillId="0" borderId="5" applyAlignment="1" pivotButton="0" quotePrefix="0" xfId="0">
      <alignment horizontal="center" vertical="center"/>
    </xf>
    <xf numFmtId="0" fontId="40" fillId="0" borderId="5" applyAlignment="1" pivotButton="0" quotePrefix="0" xfId="0">
      <alignment horizontal="left" vertical="center"/>
    </xf>
    <xf numFmtId="0" fontId="38" fillId="34" borderId="5" applyAlignment="1" pivotButton="0" quotePrefix="0" xfId="0">
      <alignment horizontal="left" vertical="center"/>
    </xf>
    <xf numFmtId="3" fontId="41" fillId="34" borderId="5" applyAlignment="1" pivotButton="0" quotePrefix="0" xfId="0">
      <alignment horizontal="right" vertical="center"/>
    </xf>
    <xf numFmtId="0" fontId="38" fillId="34" borderId="5" applyAlignment="1" pivotButton="0" quotePrefix="0" xfId="0">
      <alignment horizontal="center" vertical="center"/>
    </xf>
    <xf numFmtId="0" fontId="40" fillId="34" borderId="5" applyAlignment="1" pivotButton="0" quotePrefix="0" xfId="0">
      <alignment horizontal="left" vertical="center"/>
    </xf>
    <xf numFmtId="0" fontId="42" fillId="35" borderId="5" applyAlignment="1" pivotButton="0" quotePrefix="0" xfId="0">
      <alignment horizontal="left" vertical="center"/>
    </xf>
    <xf numFmtId="3" fontId="42" fillId="35" borderId="5" applyAlignment="1" pivotButton="0" quotePrefix="0" xfId="0">
      <alignment horizontal="right" vertical="center"/>
    </xf>
    <xf numFmtId="0" fontId="42" fillId="35" borderId="5" applyAlignment="1" pivotButton="0" quotePrefix="0" xfId="0">
      <alignment horizontal="center" vertical="center"/>
    </xf>
    <xf numFmtId="0" fontId="40" fillId="35" borderId="5" applyAlignment="1" pivotButton="0" quotePrefix="0" xfId="0">
      <alignment horizontal="left" vertical="center"/>
    </xf>
    <xf numFmtId="0" fontId="0" fillId="36" borderId="10" pivotButton="0" quotePrefix="0" xfId="0"/>
    <xf numFmtId="0" fontId="4" fillId="37" borderId="5" applyAlignment="1" pivotButton="0" quotePrefix="0" xfId="0">
      <alignment horizontal="left" vertical="center"/>
    </xf>
    <xf numFmtId="0" fontId="43" fillId="38" borderId="5" applyAlignment="1" pivotButton="0" quotePrefix="0" xfId="0">
      <alignment horizontal="left" vertical="center"/>
    </xf>
    <xf numFmtId="0" fontId="44" fillId="38" borderId="5" applyAlignment="1" pivotButton="0" quotePrefix="0" xfId="0">
      <alignment horizontal="right" vertical="center"/>
    </xf>
    <xf numFmtId="0" fontId="45" fillId="38" borderId="5" applyAlignment="1" pivotButton="0" quotePrefix="0" xfId="0">
      <alignment horizontal="center" vertical="center"/>
    </xf>
    <xf numFmtId="0" fontId="46" fillId="38" borderId="5" applyAlignment="1" pivotButton="0" quotePrefix="0" xfId="0">
      <alignment horizontal="center" vertical="center"/>
    </xf>
    <xf numFmtId="0" fontId="40" fillId="38" borderId="5" applyAlignment="1" pivotButton="0" quotePrefix="0" xfId="0">
      <alignment horizontal="left" vertical="center"/>
    </xf>
    <xf numFmtId="0" fontId="47" fillId="39" borderId="5" applyAlignment="1" pivotButton="0" quotePrefix="0" xfId="0">
      <alignment horizontal="left" vertical="center"/>
    </xf>
    <xf numFmtId="0" fontId="47" fillId="39" borderId="5" applyAlignment="1" pivotButton="0" quotePrefix="0" xfId="0">
      <alignment horizontal="center" vertical="center"/>
    </xf>
    <xf numFmtId="0" fontId="7" fillId="39" borderId="5" applyAlignment="1" pivotButton="0" quotePrefix="0" xfId="0">
      <alignment horizontal="left" vertical="center"/>
    </xf>
    <xf numFmtId="0" fontId="25" fillId="39" borderId="5" applyAlignment="1" pivotButton="0" quotePrefix="0" xfId="0">
      <alignment horizontal="left" vertical="center"/>
    </xf>
    <xf numFmtId="0" fontId="48" fillId="40" borderId="5" applyAlignment="1" pivotButton="0" quotePrefix="0" xfId="0">
      <alignment horizontal="left" vertical="center"/>
    </xf>
    <xf numFmtId="0" fontId="0" fillId="0" borderId="9" pivotButton="0" quotePrefix="0" xfId="0"/>
    <xf numFmtId="3" fontId="49" fillId="0" borderId="5" applyAlignment="1" pivotButton="0" quotePrefix="0" xfId="0">
      <alignment horizontal="right" vertical="center"/>
    </xf>
    <xf numFmtId="3" fontId="49" fillId="34" borderId="5" applyAlignment="1" pivotButton="0" quotePrefix="0" xfId="0">
      <alignment horizontal="right" vertical="center"/>
    </xf>
    <xf numFmtId="0" fontId="38" fillId="38" borderId="5" applyAlignment="1" pivotButton="0" quotePrefix="0" xfId="0">
      <alignment horizontal="left" vertical="center"/>
    </xf>
    <xf numFmtId="3" fontId="49" fillId="38" borderId="5" applyAlignment="1" pivotButton="0" quotePrefix="0" xfId="0">
      <alignment horizontal="right" vertical="center"/>
    </xf>
    <xf numFmtId="4" fontId="49" fillId="38" borderId="5" applyAlignment="1" pivotButton="0" quotePrefix="0" xfId="0">
      <alignment horizontal="right" vertical="center"/>
    </xf>
    <xf numFmtId="4" fontId="41" fillId="34" borderId="5" applyAlignment="1" pivotButton="0" quotePrefix="0" xfId="0">
      <alignment horizontal="right" vertical="center"/>
    </xf>
    <xf numFmtId="4" fontId="42" fillId="35" borderId="5" applyAlignment="1" pivotButton="0" quotePrefix="0" xfId="0">
      <alignment horizontal="right" vertical="center"/>
    </xf>
    <xf numFmtId="0" fontId="50" fillId="35" borderId="5" applyAlignment="1" pivotButton="0" quotePrefix="0" xfId="0">
      <alignment horizontal="left" vertical="center"/>
    </xf>
    <xf numFmtId="0" fontId="33" fillId="24" borderId="5" applyAlignment="1" pivotButton="0" quotePrefix="0" xfId="0">
      <alignment horizontal="center" vertical="center" wrapText="1"/>
    </xf>
    <xf numFmtId="0" fontId="4" fillId="41" borderId="5" applyAlignment="1" pivotButton="0" quotePrefix="0" xfId="0">
      <alignment horizontal="left" vertical="center"/>
    </xf>
    <xf numFmtId="0" fontId="4" fillId="41" borderId="5" applyAlignment="1" pivotButton="0" quotePrefix="0" xfId="0">
      <alignment horizontal="center" vertical="center"/>
    </xf>
    <xf numFmtId="0" fontId="4" fillId="26" borderId="5" applyAlignment="1" pivotButton="0" quotePrefix="0" xfId="0">
      <alignment horizontal="left" vertical="center"/>
    </xf>
    <xf numFmtId="0" fontId="4" fillId="26" borderId="5" applyAlignment="1" pivotButton="0" quotePrefix="0" xfId="0">
      <alignment horizontal="center" vertical="center"/>
    </xf>
    <xf numFmtId="0" fontId="4" fillId="42" borderId="5" applyAlignment="1" pivotButton="0" quotePrefix="0" xfId="0">
      <alignment horizontal="left" vertical="center"/>
    </xf>
    <xf numFmtId="0" fontId="4" fillId="42" borderId="5" applyAlignment="1" pivotButton="0" quotePrefix="0" xfId="0">
      <alignment horizontal="center" vertical="center"/>
    </xf>
    <xf numFmtId="0" fontId="4" fillId="43" borderId="5" applyAlignment="1" pivotButton="0" quotePrefix="0" xfId="0">
      <alignment horizontal="left" vertical="center"/>
    </xf>
    <xf numFmtId="0" fontId="4" fillId="43" borderId="5" applyAlignment="1" pivotButton="0" quotePrefix="0" xfId="0">
      <alignment horizontal="center" vertical="center"/>
    </xf>
    <xf numFmtId="0" fontId="4" fillId="44" borderId="5" applyAlignment="1" pivotButton="0" quotePrefix="0" xfId="0">
      <alignment horizontal="left" vertical="center"/>
    </xf>
    <xf numFmtId="0" fontId="4" fillId="44" borderId="5" applyAlignment="1" pivotButton="0" quotePrefix="0" xfId="0">
      <alignment horizontal="center" vertical="center"/>
    </xf>
    <xf numFmtId="0" fontId="35" fillId="45" borderId="5" applyAlignment="1" pivotButton="0" quotePrefix="0" xfId="0">
      <alignment horizontal="left" vertical="center"/>
    </xf>
    <xf numFmtId="0" fontId="49" fillId="38" borderId="5" applyAlignment="1" pivotButton="0" quotePrefix="0" xfId="0">
      <alignment horizontal="center" vertical="center"/>
    </xf>
    <xf numFmtId="0" fontId="49" fillId="0" borderId="5" applyAlignment="1" pivotButton="0" quotePrefix="0" xfId="0">
      <alignment horizontal="center" vertical="center"/>
    </xf>
    <xf numFmtId="49" fontId="49" fillId="34" borderId="5" applyAlignment="1" pivotButton="0" quotePrefix="0" xfId="0">
      <alignment horizontal="right" vertical="center"/>
    </xf>
    <xf numFmtId="0" fontId="49" fillId="34" borderId="5" applyAlignment="1" pivotButton="0" quotePrefix="0" xfId="0">
      <alignment horizontal="center" vertical="center"/>
    </xf>
    <xf numFmtId="0" fontId="51" fillId="46" borderId="5" applyAlignment="1" pivotButton="0" quotePrefix="0" xfId="0">
      <alignment horizontal="left" vertical="center"/>
    </xf>
    <xf numFmtId="0" fontId="52" fillId="34" borderId="5" applyAlignment="1" pivotButton="0" quotePrefix="0" xfId="0">
      <alignment horizontal="left" vertical="center"/>
    </xf>
    <xf numFmtId="0" fontId="53" fillId="38" borderId="5" applyAlignment="1" pivotButton="0" quotePrefix="0" xfId="0">
      <alignment horizontal="left" vertical="center"/>
    </xf>
    <xf numFmtId="3" fontId="43" fillId="38" borderId="5" applyAlignment="1" pivotButton="0" quotePrefix="0" xfId="0">
      <alignment horizontal="right" vertical="center"/>
    </xf>
    <xf numFmtId="0" fontId="53" fillId="0" borderId="5" applyAlignment="1" pivotButton="0" quotePrefix="0" xfId="0">
      <alignment horizontal="left" vertical="center"/>
    </xf>
    <xf numFmtId="3" fontId="43" fillId="0" borderId="5" applyAlignment="1" pivotButton="0" quotePrefix="0" xfId="0">
      <alignment horizontal="right" vertical="center"/>
    </xf>
    <xf numFmtId="3" fontId="42" fillId="47" borderId="5" applyAlignment="1" pivotButton="0" quotePrefix="0" xfId="0">
      <alignment horizontal="right" vertical="center"/>
    </xf>
    <xf numFmtId="0" fontId="54" fillId="35" borderId="5" applyAlignment="1" pivotButton="0" quotePrefix="0" xfId="0">
      <alignment horizontal="left" vertical="center"/>
    </xf>
    <xf numFmtId="49" fontId="43" fillId="0" borderId="5" applyAlignment="1" pivotButton="0" quotePrefix="0" xfId="0">
      <alignment horizontal="right" vertical="center"/>
    </xf>
    <xf numFmtId="49" fontId="43" fillId="38" borderId="5" applyAlignment="1" pivotButton="0" quotePrefix="0" xfId="0">
      <alignment horizontal="right" vertical="center"/>
    </xf>
    <xf numFmtId="0" fontId="4" fillId="33" borderId="5" applyAlignment="1" pivotButton="0" quotePrefix="0" xfId="0">
      <alignment horizontal="left" vertical="center"/>
    </xf>
    <xf numFmtId="49" fontId="49" fillId="0" borderId="5" applyAlignment="1" pivotButton="0" quotePrefix="0" xfId="0">
      <alignment horizontal="right" vertical="center"/>
    </xf>
    <xf numFmtId="0" fontId="55" fillId="40" borderId="5" applyAlignment="1" pivotButton="0" quotePrefix="0" xfId="0">
      <alignment horizontal="left" vertical="center"/>
    </xf>
    <xf numFmtId="3" fontId="4" fillId="43" borderId="5" applyAlignment="1" pivotButton="0" quotePrefix="0" xfId="0">
      <alignment horizontal="right" vertical="center"/>
    </xf>
    <xf numFmtId="3" fontId="4" fillId="42" borderId="5" applyAlignment="1" pivotButton="0" quotePrefix="0" xfId="0">
      <alignment horizontal="right" vertical="center"/>
    </xf>
    <xf numFmtId="3" fontId="4" fillId="33" borderId="5" applyAlignment="1" pivotButton="0" quotePrefix="0" xfId="0">
      <alignment horizontal="right" vertical="center"/>
    </xf>
    <xf numFmtId="3" fontId="4" fillId="41" borderId="5" applyAlignment="1" pivotButton="0" quotePrefix="0" xfId="0">
      <alignment horizontal="right" vertical="center"/>
    </xf>
    <xf numFmtId="0" fontId="4" fillId="32" borderId="5" applyAlignment="1" pivotButton="0" quotePrefix="0" xfId="0">
      <alignment horizontal="left" vertical="center"/>
    </xf>
    <xf numFmtId="3" fontId="4" fillId="32" borderId="5" applyAlignment="1" pivotButton="0" quotePrefix="0" xfId="0">
      <alignment horizontal="right" vertical="center"/>
    </xf>
    <xf numFmtId="0" fontId="56" fillId="38" borderId="5" applyAlignment="1" pivotButton="0" quotePrefix="0" xfId="0">
      <alignment horizontal="left" vertical="center"/>
    </xf>
    <xf numFmtId="0" fontId="56" fillId="0" borderId="5" applyAlignment="1" pivotButton="0" quotePrefix="0" xfId="0">
      <alignment horizontal="left" vertical="center"/>
    </xf>
    <xf numFmtId="0" fontId="40" fillId="39" borderId="5" applyAlignment="1" pivotButton="0" quotePrefix="0" xfId="0">
      <alignment horizontal="left" vertical="center"/>
    </xf>
    <xf numFmtId="0" fontId="55" fillId="31" borderId="5" applyAlignment="1" pivotButton="0" quotePrefix="0" xfId="0">
      <alignment horizontal="left" vertical="center" wrapText="1"/>
    </xf>
    <xf numFmtId="0" fontId="57" fillId="48" borderId="0" applyAlignment="1" pivotButton="0" quotePrefix="0" xfId="0">
      <alignment horizontal="center" vertical="center"/>
    </xf>
    <xf numFmtId="0" fontId="2" fillId="49" borderId="0" applyAlignment="1" pivotButton="0" quotePrefix="0" xfId="0">
      <alignment horizontal="center" vertical="center"/>
    </xf>
    <xf numFmtId="0" fontId="58" fillId="48" borderId="0" applyAlignment="1" pivotButton="0" quotePrefix="0" xfId="0">
      <alignment horizontal="left" vertical="center" indent="2"/>
    </xf>
    <xf numFmtId="0" fontId="4" fillId="49" borderId="11" applyAlignment="1" pivotButton="0" quotePrefix="0" xfId="0">
      <alignment horizontal="center" vertical="center"/>
    </xf>
    <xf numFmtId="0" fontId="4" fillId="50" borderId="11" applyAlignment="1" pivotButton="0" quotePrefix="0" xfId="0">
      <alignment horizontal="center" vertical="center"/>
    </xf>
    <xf numFmtId="0" fontId="4" fillId="48" borderId="11" applyAlignment="1" pivotButton="0" quotePrefix="0" xfId="0">
      <alignment horizontal="center" vertical="center"/>
    </xf>
    <xf numFmtId="0" fontId="59" fillId="51" borderId="11" applyAlignment="1" pivotButton="0" quotePrefix="0" xfId="0">
      <alignment horizontal="left" vertical="center" indent="2"/>
    </xf>
    <xf numFmtId="0" fontId="59" fillId="51" borderId="11" applyAlignment="1" pivotButton="0" quotePrefix="0" xfId="0">
      <alignment horizontal="center" vertical="center"/>
    </xf>
    <xf numFmtId="0" fontId="59" fillId="52" borderId="11" applyAlignment="1" pivotButton="0" quotePrefix="0" xfId="0">
      <alignment horizontal="left" vertical="center" indent="2"/>
    </xf>
    <xf numFmtId="0" fontId="59" fillId="52" borderId="11" applyAlignment="1" pivotButton="0" quotePrefix="0" xfId="0">
      <alignment horizontal="center" vertical="center"/>
    </xf>
    <xf numFmtId="0" fontId="23" fillId="50" borderId="0" applyAlignment="1" pivotButton="0" quotePrefix="0" xfId="0">
      <alignment horizontal="left" vertical="center" indent="2"/>
    </xf>
    <xf numFmtId="0" fontId="4" fillId="48" borderId="11" applyAlignment="1" pivotButton="0" quotePrefix="0" xfId="0">
      <alignment horizontal="left" vertical="center" indent="3"/>
    </xf>
    <xf numFmtId="170" fontId="4" fillId="48" borderId="11" applyAlignment="1" pivotButton="0" quotePrefix="0" xfId="0">
      <alignment horizontal="right" vertical="center"/>
    </xf>
    <xf numFmtId="0" fontId="60" fillId="48" borderId="11" applyAlignment="1" pivotButton="0" quotePrefix="0" xfId="0">
      <alignment horizontal="center" vertical="center"/>
    </xf>
    <xf numFmtId="0" fontId="59" fillId="53" borderId="11" applyAlignment="1" pivotButton="0" quotePrefix="0" xfId="0">
      <alignment horizontal="left" vertical="center" indent="3"/>
    </xf>
    <xf numFmtId="170" fontId="59" fillId="53" borderId="11" applyAlignment="1" pivotButton="0" quotePrefix="0" xfId="0">
      <alignment horizontal="right" vertical="center"/>
    </xf>
    <xf numFmtId="0" fontId="61" fillId="53" borderId="11" applyAlignment="1" pivotButton="0" quotePrefix="0" xfId="0">
      <alignment horizontal="center" vertical="center"/>
    </xf>
    <xf numFmtId="0" fontId="62" fillId="51" borderId="11" applyAlignment="1" pivotButton="0" quotePrefix="0" xfId="0">
      <alignment horizontal="left" vertical="center" indent="3"/>
    </xf>
    <xf numFmtId="170" fontId="62" fillId="51" borderId="11" applyAlignment="1" pivotButton="0" quotePrefix="0" xfId="0">
      <alignment horizontal="right" vertical="center"/>
    </xf>
    <xf numFmtId="0" fontId="61" fillId="51" borderId="11" applyAlignment="1" pivotButton="0" quotePrefix="0" xfId="0">
      <alignment horizontal="center" vertical="center"/>
    </xf>
    <xf numFmtId="0" fontId="4" fillId="50" borderId="11" applyAlignment="1" pivotButton="0" quotePrefix="0" xfId="0">
      <alignment horizontal="left" vertical="center" indent="3"/>
    </xf>
    <xf numFmtId="170" fontId="4" fillId="50" borderId="11" applyAlignment="1" pivotButton="0" quotePrefix="0" xfId="0">
      <alignment horizontal="right" vertical="center"/>
    </xf>
    <xf numFmtId="0" fontId="60" fillId="50" borderId="11" applyAlignment="1" pivotButton="0" quotePrefix="0" xfId="0">
      <alignment horizontal="center" vertical="center"/>
    </xf>
    <xf numFmtId="0" fontId="63" fillId="54" borderId="11" applyAlignment="1" pivotButton="0" quotePrefix="0" xfId="0">
      <alignment horizontal="center" vertical="center"/>
    </xf>
    <xf numFmtId="0" fontId="59" fillId="51" borderId="11" applyAlignment="1" pivotButton="0" quotePrefix="0" xfId="0">
      <alignment horizontal="left" vertical="center" indent="3"/>
    </xf>
    <xf numFmtId="170" fontId="59" fillId="51" borderId="11" applyAlignment="1" pivotButton="0" quotePrefix="0" xfId="0">
      <alignment horizontal="right" vertical="center"/>
    </xf>
    <xf numFmtId="0" fontId="64" fillId="48" borderId="11" applyAlignment="1" pivotButton="0" quotePrefix="0" xfId="0">
      <alignment horizontal="left" vertical="center" indent="3"/>
    </xf>
    <xf numFmtId="170" fontId="64" fillId="48" borderId="11" applyAlignment="1" pivotButton="0" quotePrefix="0" xfId="0">
      <alignment horizontal="right" vertical="center"/>
    </xf>
    <xf numFmtId="0" fontId="65" fillId="48" borderId="11" applyAlignment="1" pivotButton="0" quotePrefix="0" xfId="0">
      <alignment horizontal="center" vertical="center"/>
    </xf>
    <xf numFmtId="0" fontId="66" fillId="51" borderId="11" applyAlignment="1" pivotButton="0" quotePrefix="0" xfId="0">
      <alignment horizontal="center" vertical="center"/>
    </xf>
    <xf numFmtId="0" fontId="23" fillId="49" borderId="0" applyAlignment="1" pivotButton="0" quotePrefix="0" xfId="0">
      <alignment horizontal="left" vertical="center" indent="2"/>
    </xf>
    <xf numFmtId="0" fontId="59" fillId="55" borderId="11" applyAlignment="1" pivotButton="0" quotePrefix="0" xfId="0">
      <alignment horizontal="left" vertical="center" indent="2"/>
    </xf>
    <xf numFmtId="0" fontId="59" fillId="55" borderId="11" applyAlignment="1" pivotButton="0" quotePrefix="0" xfId="0">
      <alignment horizontal="center" vertical="center"/>
    </xf>
    <xf numFmtId="0" fontId="63" fillId="54" borderId="11" applyAlignment="1" pivotButton="0" quotePrefix="0" xfId="0">
      <alignment horizontal="left" vertical="center" indent="2"/>
    </xf>
    <xf numFmtId="0" fontId="67" fillId="56" borderId="0" applyAlignment="1" pivotButton="0" quotePrefix="0" xfId="0">
      <alignment horizontal="left" vertical="center" indent="2"/>
    </xf>
    <xf numFmtId="0" fontId="68" fillId="54" borderId="11" applyAlignment="1" pivotButton="0" quotePrefix="0" xfId="0">
      <alignment horizontal="left" vertical="center" indent="2"/>
    </xf>
    <xf numFmtId="0" fontId="69" fillId="54" borderId="11" applyAlignment="1" pivotButton="0" quotePrefix="0" xfId="0">
      <alignment horizontal="center" vertical="center"/>
    </xf>
    <xf numFmtId="0" fontId="70" fillId="54" borderId="11" applyAlignment="1" pivotButton="0" quotePrefix="0" xfId="0">
      <alignment horizontal="left" vertical="center" wrapText="1" indent="1"/>
    </xf>
    <xf numFmtId="0" fontId="71" fillId="57" borderId="11" applyAlignment="1" pivotButton="0" quotePrefix="0" xfId="0">
      <alignment horizontal="left" vertical="center" indent="2"/>
    </xf>
    <xf numFmtId="0" fontId="72" fillId="57" borderId="11" applyAlignment="1" pivotButton="0" quotePrefix="0" xfId="0">
      <alignment horizontal="center" vertical="center"/>
    </xf>
    <xf numFmtId="0" fontId="70" fillId="57" borderId="11" applyAlignment="1" pivotButton="0" quotePrefix="0" xfId="0">
      <alignment horizontal="left" vertical="center" wrapText="1" indent="1"/>
    </xf>
    <xf numFmtId="0" fontId="73" fillId="53" borderId="11" applyAlignment="1" pivotButton="0" quotePrefix="0" xfId="0">
      <alignment horizontal="left" vertical="center" indent="2"/>
    </xf>
    <xf numFmtId="0" fontId="74" fillId="53" borderId="11" applyAlignment="1" pivotButton="0" quotePrefix="0" xfId="0">
      <alignment horizontal="center" vertical="center"/>
    </xf>
    <xf numFmtId="0" fontId="70" fillId="53" borderId="11" applyAlignment="1" pivotButton="0" quotePrefix="0" xfId="0">
      <alignment horizontal="left" vertical="center" wrapText="1" indent="1"/>
    </xf>
    <xf numFmtId="0" fontId="75" fillId="51" borderId="11" applyAlignment="1" pivotButton="0" quotePrefix="0" xfId="0">
      <alignment horizontal="left" vertical="center" indent="2"/>
    </xf>
    <xf numFmtId="0" fontId="76" fillId="51" borderId="11" applyAlignment="1" pivotButton="0" quotePrefix="0" xfId="0">
      <alignment horizontal="center" vertical="center"/>
    </xf>
    <xf numFmtId="0" fontId="70" fillId="51" borderId="11" applyAlignment="1" pivotButton="0" quotePrefix="0" xfId="0">
      <alignment horizontal="left" vertical="center" wrapText="1" indent="1"/>
    </xf>
    <xf numFmtId="0" fontId="62" fillId="58" borderId="11" applyAlignment="1" pivotButton="0" quotePrefix="0" xfId="0">
      <alignment horizontal="left" vertical="center" indent="2"/>
    </xf>
    <xf numFmtId="0" fontId="70" fillId="58" borderId="11" applyAlignment="1" pivotButton="0" quotePrefix="0" xfId="0">
      <alignment horizontal="left" vertical="center" wrapText="1"/>
    </xf>
    <xf numFmtId="0" fontId="0" fillId="0" borderId="14" pivotButton="0" quotePrefix="0" xfId="0"/>
    <xf numFmtId="0" fontId="62" fillId="52" borderId="11" applyAlignment="1" pivotButton="0" quotePrefix="0" xfId="0">
      <alignment horizontal="left" vertical="center" indent="2"/>
    </xf>
    <xf numFmtId="0" fontId="70" fillId="52" borderId="11" applyAlignment="1" pivotButton="0" quotePrefix="0" xfId="0">
      <alignment horizontal="left" vertical="center" wrapText="1"/>
    </xf>
    <xf numFmtId="0" fontId="77" fillId="48" borderId="0" applyAlignment="1" pivotButton="0" quotePrefix="0" xfId="0">
      <alignment horizontal="center" vertical="center"/>
    </xf>
    <xf numFmtId="0" fontId="0" fillId="0" borderId="15" pivotButton="0" quotePrefix="0" xfId="0"/>
    <xf numFmtId="0" fontId="58" fillId="48" borderId="0" applyAlignment="1" pivotButton="0" quotePrefix="0" xfId="0">
      <alignment horizontal="left" vertical="center" indent="2"/>
    </xf>
    <xf numFmtId="0" fontId="78" fillId="49" borderId="0" applyAlignment="1" pivotButton="0" quotePrefix="0" xfId="0">
      <alignment horizontal="left" vertical="center" indent="2"/>
    </xf>
    <xf numFmtId="0" fontId="4" fillId="49" borderId="11" applyAlignment="1" pivotButton="0" quotePrefix="0" xfId="0">
      <alignment horizontal="center" vertical="center"/>
    </xf>
    <xf numFmtId="0" fontId="59" fillId="51" borderId="11" applyAlignment="1" pivotButton="0" quotePrefix="0" xfId="0">
      <alignment horizontal="left" vertical="center" indent="2"/>
    </xf>
    <xf numFmtId="0" fontId="59" fillId="51" borderId="11" applyAlignment="1" pivotButton="0" quotePrefix="0" xfId="0">
      <alignment horizontal="center" vertical="center"/>
    </xf>
    <xf numFmtId="0" fontId="79" fillId="51" borderId="11" applyAlignment="1" pivotButton="0" quotePrefix="0" xfId="0">
      <alignment horizontal="left" vertical="center"/>
    </xf>
    <xf numFmtId="0" fontId="59" fillId="52" borderId="11" applyAlignment="1" pivotButton="0" quotePrefix="0" xfId="0">
      <alignment horizontal="left" vertical="center" indent="2"/>
    </xf>
    <xf numFmtId="0" fontId="59" fillId="52" borderId="11" applyAlignment="1" pivotButton="0" quotePrefix="0" xfId="0">
      <alignment horizontal="center" vertical="center"/>
    </xf>
    <xf numFmtId="0" fontId="79" fillId="52" borderId="11" applyAlignment="1" pivotButton="0" quotePrefix="0" xfId="0">
      <alignment horizontal="left" vertical="center"/>
    </xf>
    <xf numFmtId="0" fontId="0" fillId="55" borderId="0" pivotButton="0" quotePrefix="0" xfId="0"/>
    <xf numFmtId="0" fontId="4" fillId="48" borderId="11" applyAlignment="1" pivotButton="0" quotePrefix="0" xfId="0">
      <alignment horizontal="left" vertical="center" indent="3"/>
    </xf>
    <xf numFmtId="0" fontId="4" fillId="48" borderId="11" applyAlignment="1" pivotButton="0" quotePrefix="0" xfId="0">
      <alignment horizontal="right" vertical="center"/>
    </xf>
    <xf numFmtId="0" fontId="80" fillId="48" borderId="11" applyAlignment="1" pivotButton="0" quotePrefix="0" xfId="0">
      <alignment horizontal="left" vertical="center"/>
    </xf>
    <xf numFmtId="0" fontId="59" fillId="53" borderId="11" applyAlignment="1" pivotButton="0" quotePrefix="0" xfId="0">
      <alignment horizontal="left" vertical="center" indent="3"/>
    </xf>
    <xf numFmtId="0" fontId="59" fillId="53" borderId="11" applyAlignment="1" pivotButton="0" quotePrefix="0" xfId="0">
      <alignment horizontal="right" vertical="center"/>
    </xf>
    <xf numFmtId="0" fontId="79" fillId="53" borderId="11" applyAlignment="1" pivotButton="0" quotePrefix="0" xfId="0">
      <alignment horizontal="left" vertical="center"/>
    </xf>
    <xf numFmtId="0" fontId="62" fillId="51" borderId="11" applyAlignment="1" pivotButton="0" quotePrefix="0" xfId="0">
      <alignment horizontal="left" vertical="center" indent="3"/>
    </xf>
    <xf numFmtId="0" fontId="62" fillId="51" borderId="11" applyAlignment="1" pivotButton="0" quotePrefix="0" xfId="0">
      <alignment horizontal="right" vertical="center"/>
    </xf>
    <xf numFmtId="0" fontId="81" fillId="57" borderId="16" applyAlignment="1" pivotButton="0" quotePrefix="0" xfId="0">
      <alignment horizontal="left" vertical="center" indent="2"/>
    </xf>
    <xf numFmtId="0" fontId="82" fillId="57" borderId="16" applyAlignment="1" pivotButton="0" quotePrefix="0" xfId="0">
      <alignment horizontal="center" vertical="center"/>
    </xf>
    <xf numFmtId="0" fontId="79" fillId="57" borderId="16" applyAlignment="1" pivotButton="0" quotePrefix="0" xfId="0">
      <alignment horizontal="left" vertical="center" indent="2"/>
    </xf>
    <xf numFmtId="0" fontId="23" fillId="49" borderId="0" applyAlignment="1" pivotButton="0" quotePrefix="0" xfId="0">
      <alignment horizontal="left" vertical="center" indent="2"/>
    </xf>
    <xf numFmtId="0" fontId="4" fillId="59" borderId="11" applyAlignment="1" pivotButton="0" quotePrefix="0" xfId="0">
      <alignment horizontal="center" vertical="center"/>
    </xf>
    <xf numFmtId="0" fontId="62" fillId="60" borderId="11" applyAlignment="1" pivotButton="0" quotePrefix="0" xfId="0">
      <alignment horizontal="center" vertical="center"/>
    </xf>
    <xf numFmtId="0" fontId="4" fillId="14" borderId="11" applyAlignment="1" pivotButton="0" quotePrefix="0" xfId="0">
      <alignment horizontal="center" vertical="center"/>
    </xf>
    <xf numFmtId="0" fontId="62" fillId="55" borderId="11" applyAlignment="1" pivotButton="0" quotePrefix="0" xfId="0">
      <alignment horizontal="left" vertical="center" indent="2"/>
    </xf>
    <xf numFmtId="0" fontId="62" fillId="55" borderId="11" applyAlignment="1" pivotButton="0" quotePrefix="0" xfId="0">
      <alignment horizontal="center" vertical="center"/>
    </xf>
    <xf numFmtId="0" fontId="59" fillId="55" borderId="11" applyAlignment="1" pivotButton="0" quotePrefix="0" xfId="0">
      <alignment horizontal="left" vertical="center" indent="2"/>
    </xf>
    <xf numFmtId="0" fontId="59" fillId="55" borderId="11" applyAlignment="1" pivotButton="0" quotePrefix="0" xfId="0">
      <alignment horizontal="center" vertical="center"/>
    </xf>
    <xf numFmtId="0" fontId="62" fillId="52" borderId="11" applyAlignment="1" pivotButton="0" quotePrefix="0" xfId="0">
      <alignment horizontal="left" vertical="center" indent="2"/>
    </xf>
    <xf numFmtId="0" fontId="62" fillId="52" borderId="11" applyAlignment="1" pivotButton="0" quotePrefix="0" xfId="0">
      <alignment horizontal="center" vertical="center"/>
    </xf>
    <xf numFmtId="0" fontId="63" fillId="54" borderId="11" applyAlignment="1" pivotButton="0" quotePrefix="0" xfId="0">
      <alignment horizontal="left" vertical="center" indent="2"/>
    </xf>
    <xf numFmtId="0" fontId="68" fillId="54" borderId="11" applyAlignment="1" pivotButton="0" quotePrefix="0" xfId="0">
      <alignment horizontal="center" vertical="center"/>
    </xf>
    <xf numFmtId="0" fontId="83" fillId="49" borderId="0" applyAlignment="1" pivotButton="0" quotePrefix="0" xfId="0">
      <alignment horizontal="center" vertical="center"/>
    </xf>
    <xf numFmtId="0" fontId="4" fillId="48" borderId="11" applyAlignment="1" pivotButton="0" quotePrefix="0" xfId="0">
      <alignment horizontal="center" vertical="center"/>
    </xf>
    <xf numFmtId="0" fontId="59" fillId="58" borderId="11" applyAlignment="1" pivotButton="0" quotePrefix="0" xfId="0">
      <alignment horizontal="left" vertical="center" indent="2"/>
    </xf>
    <xf numFmtId="0" fontId="59" fillId="58" borderId="11" applyAlignment="1" pivotButton="0" quotePrefix="0" xfId="0">
      <alignment horizontal="center" vertical="center"/>
    </xf>
    <xf numFmtId="0" fontId="62" fillId="58" borderId="11" applyAlignment="1" pivotButton="0" quotePrefix="0" xfId="0">
      <alignment horizontal="left" vertical="center" indent="2"/>
    </xf>
    <xf numFmtId="0" fontId="62" fillId="58" borderId="11" applyAlignment="1" pivotButton="0" quotePrefix="0" xfId="0">
      <alignment horizontal="center" vertical="center"/>
    </xf>
    <xf numFmtId="0" fontId="66" fillId="51" borderId="11" applyAlignment="1" pivotButton="0" quotePrefix="0" xfId="0">
      <alignment horizontal="center" vertical="center"/>
    </xf>
    <xf numFmtId="0" fontId="66" fillId="51" borderId="11" applyAlignment="1" pivotButton="0" quotePrefix="0" xfId="0">
      <alignment horizontal="left" vertical="center" indent="2"/>
    </xf>
    <xf numFmtId="0" fontId="79" fillId="55" borderId="11" applyAlignment="1" pivotButton="0" quotePrefix="0" xfId="0">
      <alignment horizontal="left" vertical="center"/>
    </xf>
    <xf numFmtId="0" fontId="59" fillId="55" borderId="11" applyAlignment="1" pivotButton="0" quotePrefix="0" xfId="0">
      <alignment horizontal="right" vertical="center"/>
    </xf>
    <xf numFmtId="0" fontId="59" fillId="52" borderId="11" applyAlignment="1" pivotButton="0" quotePrefix="0" xfId="0">
      <alignment horizontal="right" vertical="center"/>
    </xf>
    <xf numFmtId="0" fontId="81" fillId="57" borderId="16" applyAlignment="1" pivotButton="0" quotePrefix="0" xfId="0">
      <alignment horizontal="center" vertical="center"/>
    </xf>
    <xf numFmtId="0" fontId="81" fillId="57" borderId="16" applyAlignment="1" pivotButton="0" quotePrefix="0" xfId="0">
      <alignment horizontal="right" vertical="center"/>
    </xf>
    <xf numFmtId="0" fontId="79" fillId="58" borderId="11" applyAlignment="1" pivotButton="0" quotePrefix="0" xfId="0">
      <alignment horizontal="left" vertical="center" indent="2"/>
    </xf>
    <xf numFmtId="0" fontId="84" fillId="4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 ht="10" customHeight="1"/>
    <row r="2" ht="45" customHeight="1">
      <c r="B2" s="1" t="inlineStr">
        <is>
          <t>BOOTCAMP — MÉTRICAS Y VENTAS</t>
        </is>
      </c>
    </row>
    <row r="3" ht="22" customHeight="1">
      <c r="B3" s="2" t="inlineStr">
        <is>
          <t>Sinergéticos / Synergy for Education</t>
        </is>
      </c>
    </row>
    <row r="4" ht="10" customHeight="1"/>
    <row r="5" ht="30" customHeight="1">
      <c r="B5" s="3" t="inlineStr">
        <is>
          <t>MÉTRICA</t>
        </is>
      </c>
      <c r="C5" s="4" t="inlineStr">
        <is>
          <t>BOOTCAMP ENE 2025</t>
        </is>
      </c>
      <c r="D5" s="5" t="inlineStr">
        <is>
          <t>META JUN 2026</t>
        </is>
      </c>
      <c r="E5" s="6" t="inlineStr">
        <is>
          <t>REAL JUN 2026</t>
        </is>
      </c>
      <c r="F5" s="7" t="inlineStr">
        <is>
          <t>VS META</t>
        </is>
      </c>
    </row>
    <row r="6" ht="22" customHeight="1">
      <c r="B6" s="8" t="inlineStr">
        <is>
          <t>▸  ADQUISICIÓN DE LEADS</t>
        </is>
      </c>
    </row>
    <row r="7" ht="20" customHeight="1">
      <c r="B7" s="9" t="inlineStr">
        <is>
          <t>Leads totales</t>
        </is>
      </c>
      <c r="C7" s="10" t="n">
        <v>58530</v>
      </c>
      <c r="D7" s="11" t="n">
        <v>70000</v>
      </c>
      <c r="E7" s="12" t="n"/>
      <c r="F7" s="13">
        <f>IF(E7="","—",E7-D7)</f>
        <v/>
      </c>
    </row>
    <row r="8" ht="20" customHeight="1">
      <c r="B8" s="9" t="inlineStr">
        <is>
          <t>Registros confirmados</t>
        </is>
      </c>
      <c r="C8" s="10" t="n">
        <v>23329</v>
      </c>
      <c r="D8" s="11" t="n">
        <v>28000</v>
      </c>
      <c r="E8" s="12" t="n"/>
      <c r="F8" s="13">
        <f>IF(E8="","—",E8-D8)</f>
        <v/>
      </c>
    </row>
    <row r="9" ht="20" customHeight="1">
      <c r="B9" s="9" t="inlineStr">
        <is>
          <t>Tasa de confirmación</t>
        </is>
      </c>
      <c r="C9" s="14" t="n">
        <v>0.3986</v>
      </c>
      <c r="D9" s="15" t="n">
        <v>0.4</v>
      </c>
      <c r="E9" s="16" t="n"/>
      <c r="F9" s="17">
        <f>IF(E9="","—",E9-D9)</f>
        <v/>
      </c>
    </row>
    <row r="10" ht="20" customHeight="1">
      <c r="B10" s="9" t="inlineStr">
        <is>
          <t>Inversión publicitaria (MXN)</t>
        </is>
      </c>
      <c r="C10" s="18" t="n"/>
      <c r="D10" s="19" t="n"/>
      <c r="E10" s="20" t="n"/>
      <c r="F10" s="21">
        <f>IF(E10="","—",E10-D10)</f>
        <v/>
      </c>
    </row>
    <row r="11" ht="20" customHeight="1">
      <c r="B11" s="9" t="inlineStr">
        <is>
          <t>Costo por lead (CPL)</t>
        </is>
      </c>
      <c r="C11" s="22" t="n"/>
      <c r="D11" s="23" t="n"/>
      <c r="E11" s="24" t="n"/>
      <c r="F11" s="25">
        <f>IF(E11="","—",E11-D11)</f>
        <v/>
      </c>
    </row>
    <row r="12" ht="22" customHeight="1">
      <c r="B12" s="26" t="inlineStr">
        <is>
          <t>▸  EVENTO EN VIVO</t>
        </is>
      </c>
    </row>
    <row r="13" ht="20" customHeight="1">
      <c r="B13" s="9" t="inlineStr">
        <is>
          <t>Visualizaciones totales</t>
        </is>
      </c>
      <c r="C13" s="10" t="n">
        <v>45000</v>
      </c>
      <c r="D13" s="11" t="n">
        <v>55000</v>
      </c>
      <c r="E13" s="12" t="n"/>
      <c r="F13" s="13">
        <f>IF(E13="","—",E13-D13)</f>
        <v/>
      </c>
    </row>
    <row r="14" ht="20" customHeight="1">
      <c r="B14" s="9" t="inlineStr">
        <is>
          <t>Pico máximo de audiencia</t>
        </is>
      </c>
      <c r="C14" s="10" t="n">
        <v>9099</v>
      </c>
      <c r="D14" s="11" t="n">
        <v>11000</v>
      </c>
      <c r="E14" s="12" t="n"/>
      <c r="F14" s="13">
        <f>IF(E14="","—",E14-D14)</f>
        <v/>
      </c>
    </row>
    <row r="15" ht="20" customHeight="1">
      <c r="B15" s="9" t="inlineStr">
        <is>
          <t>Tasa de asistencia</t>
        </is>
      </c>
      <c r="C15" s="14" t="n">
        <v>0.1555</v>
      </c>
      <c r="D15" s="15" t="n">
        <v>0.18</v>
      </c>
      <c r="E15" s="16" t="n"/>
      <c r="F15" s="17">
        <f>IF(E15="","—",E15-D15)</f>
        <v/>
      </c>
    </row>
    <row r="16" ht="20" customHeight="1">
      <c r="B16" s="9" t="inlineStr">
        <is>
          <t>Interesados capturados Día 1</t>
        </is>
      </c>
      <c r="C16" s="10" t="n">
        <v>239</v>
      </c>
      <c r="D16" s="11" t="n">
        <v>300</v>
      </c>
      <c r="E16" s="12" t="n"/>
      <c r="F16" s="13">
        <f>IF(E16="","—",E16-D16)</f>
        <v/>
      </c>
    </row>
    <row r="17" ht="20" customHeight="1">
      <c r="B17" s="9" t="inlineStr">
        <is>
          <t>Interesados capturados Día 2</t>
        </is>
      </c>
      <c r="C17" s="10" t="n">
        <v>230</v>
      </c>
      <c r="D17" s="11" t="n">
        <v>290</v>
      </c>
      <c r="E17" s="12" t="n"/>
      <c r="F17" s="13">
        <f>IF(E17="","—",E17-D17)</f>
        <v/>
      </c>
    </row>
    <row r="18" ht="20" customHeight="1">
      <c r="B18" s="9" t="inlineStr">
        <is>
          <t>Retención Día 1 → Día 2</t>
        </is>
      </c>
      <c r="C18" s="14" t="n"/>
      <c r="D18" s="15" t="n"/>
      <c r="E18" s="16" t="n"/>
      <c r="F18" s="17">
        <f>IF(E18="","—",E18-D18)</f>
        <v/>
      </c>
    </row>
    <row r="19" ht="20" customHeight="1">
      <c r="B19" s="9" t="inlineStr">
        <is>
          <t>Retención Día 2 → Día 3</t>
        </is>
      </c>
      <c r="C19" s="14" t="n"/>
      <c r="D19" s="15" t="n"/>
      <c r="E19" s="16" t="n"/>
      <c r="F19" s="17">
        <f>IF(E19="","—",E19-D19)</f>
        <v/>
      </c>
    </row>
    <row r="20" ht="22" customHeight="1">
      <c r="B20" s="27" t="inlineStr">
        <is>
          <t>▸  VENTAS SYNERGY BLACK ACCESS</t>
        </is>
      </c>
    </row>
    <row r="21" ht="20" customHeight="1">
      <c r="B21" s="9" t="inlineStr">
        <is>
          <t>Blacks simples (completos)</t>
        </is>
      </c>
      <c r="C21" s="10" t="n">
        <v>78</v>
      </c>
      <c r="D21" s="11" t="n">
        <v>90</v>
      </c>
      <c r="E21" s="12" t="n"/>
      <c r="F21" s="13">
        <f>IF(E21="","—",E21-D21)</f>
        <v/>
      </c>
    </row>
    <row r="22" ht="20" customHeight="1">
      <c r="B22" s="9" t="inlineStr">
        <is>
          <t>Blacks dobles (completos)</t>
        </is>
      </c>
      <c r="C22" s="10" t="n">
        <v>110</v>
      </c>
      <c r="D22" s="11" t="n">
        <v>130</v>
      </c>
      <c r="E22" s="12" t="n"/>
      <c r="F22" s="13">
        <f>IF(E22="","—",E22-D22)</f>
        <v/>
      </c>
    </row>
    <row r="23" ht="20" customHeight="1">
      <c r="B23" s="9" t="inlineStr">
        <is>
          <t>Apartados simples</t>
        </is>
      </c>
      <c r="C23" s="10" t="n">
        <v>8</v>
      </c>
      <c r="D23" s="11" t="n">
        <v>15</v>
      </c>
      <c r="E23" s="12" t="n"/>
      <c r="F23" s="13">
        <f>IF(E23="","—",E23-D23)</f>
        <v/>
      </c>
    </row>
    <row r="24" ht="20" customHeight="1">
      <c r="B24" s="9" t="inlineStr">
        <is>
          <t>Apartados dobles</t>
        </is>
      </c>
      <c r="C24" s="10" t="n">
        <v>14</v>
      </c>
      <c r="D24" s="11" t="n">
        <v>20</v>
      </c>
      <c r="E24" s="12" t="n"/>
      <c r="F24" s="13">
        <f>IF(E24="","—",E24-D24)</f>
        <v/>
      </c>
    </row>
    <row r="25" ht="20" customHeight="1">
      <c r="B25" s="9" t="inlineStr">
        <is>
          <t>Total transacciones Black</t>
        </is>
      </c>
      <c r="C25" s="10" t="n">
        <v>210</v>
      </c>
      <c r="D25" s="11" t="n">
        <v>250</v>
      </c>
      <c r="E25" s="12" t="n"/>
      <c r="F25" s="13">
        <f>IF(E25="","—",E25-D25)</f>
        <v/>
      </c>
    </row>
    <row r="26" ht="20" customHeight="1">
      <c r="B26" s="9" t="inlineStr">
        <is>
          <t>Total accesos vendidos</t>
        </is>
      </c>
      <c r="C26" s="10" t="n">
        <v>298</v>
      </c>
      <c r="D26" s="11" t="n">
        <v>380</v>
      </c>
      <c r="E26" s="12" t="n"/>
      <c r="F26" s="13">
        <f>IF(E26="","—",E26-D26)</f>
        <v/>
      </c>
    </row>
    <row r="27" ht="20" customHeight="1">
      <c r="B27" s="9" t="inlineStr">
        <is>
          <t>Tasa conversión (Blacks/Leads)</t>
        </is>
      </c>
      <c r="C27" s="28" t="n">
        <v>0.00359</v>
      </c>
      <c r="D27" s="29" t="n">
        <v>0.0036</v>
      </c>
      <c r="E27" s="30" t="n"/>
      <c r="F27" s="31">
        <f>IF(E27="","—",E27-D27)</f>
        <v/>
      </c>
    </row>
    <row r="28" ht="20" customHeight="1">
      <c r="B28" s="9" t="inlineStr">
        <is>
          <t>Tasa conversión (Blacks/Confirmados)</t>
        </is>
      </c>
      <c r="C28" s="14" t="n">
        <v>0.008999999999999999</v>
      </c>
      <c r="D28" s="15" t="n">
        <v>0.008999999999999999</v>
      </c>
      <c r="E28" s="16" t="n"/>
      <c r="F28" s="17">
        <f>IF(E28="","—",E28-D28)</f>
        <v/>
      </c>
    </row>
    <row r="29" ht="20" customHeight="1">
      <c r="B29" s="9" t="inlineStr">
        <is>
          <t>Tasa conversión (Blacks/Asistentes)</t>
        </is>
      </c>
      <c r="C29" s="14" t="n">
        <v>0.00467</v>
      </c>
      <c r="D29" s="15" t="n">
        <v>0.005</v>
      </c>
      <c r="E29" s="16" t="n"/>
      <c r="F29" s="17">
        <f>IF(E29="","—",E29-D29)</f>
        <v/>
      </c>
    </row>
    <row r="30" ht="20" customHeight="1">
      <c r="B30" s="9" t="inlineStr">
        <is>
          <t>Ingreso neto completos (MXN)</t>
        </is>
      </c>
      <c r="C30" s="22" t="n">
        <v>4800929.02</v>
      </c>
      <c r="D30" s="23" t="n">
        <v>6000000</v>
      </c>
      <c r="E30" s="24" t="n"/>
      <c r="F30" s="25">
        <f>IF(E30="","—",E30-D30)</f>
        <v/>
      </c>
    </row>
    <row r="31" ht="20" customHeight="1">
      <c r="B31" s="9" t="inlineStr">
        <is>
          <t>Ingreso neto apartados (MXN)</t>
        </is>
      </c>
      <c r="C31" s="22" t="n">
        <v>131677.73</v>
      </c>
      <c r="D31" s="23" t="n">
        <v>200000</v>
      </c>
      <c r="E31" s="24" t="n"/>
      <c r="F31" s="25">
        <f>IF(E31="","—",E31-D31)</f>
        <v/>
      </c>
    </row>
    <row r="32" ht="20" customHeight="1">
      <c r="B32" s="9" t="inlineStr">
        <is>
          <t>Total ingreso neto (MXN)</t>
        </is>
      </c>
      <c r="C32" s="22" t="n">
        <v>4932606.75</v>
      </c>
      <c r="D32" s="23" t="n">
        <v>6200000</v>
      </c>
      <c r="E32" s="24" t="n"/>
      <c r="F32" s="25">
        <f>IF(E32="","—",E32-D32)</f>
        <v/>
      </c>
    </row>
    <row r="33" ht="20" customHeight="1">
      <c r="B33" s="9" t="inlineStr">
        <is>
          <t>Por cobrar — apartados (MXN)</t>
        </is>
      </c>
      <c r="C33" s="22" t="n">
        <v>735302.26</v>
      </c>
      <c r="D33" s="23" t="n"/>
      <c r="E33" s="24" t="n"/>
      <c r="F33" s="25">
        <f>IF(E33="","—",E33-D33)</f>
        <v/>
      </c>
    </row>
    <row r="34" ht="20" customHeight="1">
      <c r="B34" s="9" t="inlineStr">
        <is>
          <t>ROI de campaña</t>
        </is>
      </c>
      <c r="C34" s="14" t="n"/>
      <c r="D34" s="15" t="n"/>
      <c r="E34" s="16" t="n"/>
      <c r="F34" s="17">
        <f>IF(E34="","—",E34-D34)</f>
        <v/>
      </c>
    </row>
    <row r="35" ht="20" customHeight="1">
      <c r="B35" s="9" t="inlineStr">
        <is>
          <t>Costo por Black vendido (MXN)</t>
        </is>
      </c>
      <c r="C35" s="18" t="n"/>
      <c r="D35" s="19" t="n"/>
      <c r="E35" s="20" t="n"/>
      <c r="F35" s="21">
        <f>IF(E35="","—",E35-D35)</f>
        <v/>
      </c>
    </row>
    <row r="37" ht="30" customHeight="1">
      <c r="B37" s="32" t="inlineStr">
        <is>
          <t>💡 Las metas Jun 2026 se calcularon con un crecimiento estimado del 20% sobre Ene 2025. Ajústalas según tu estrategia.</t>
        </is>
      </c>
    </row>
  </sheetData>
  <mergeCells count="6">
    <mergeCell ref="B12:F12"/>
    <mergeCell ref="B6:F6"/>
    <mergeCell ref="B2:F2"/>
    <mergeCell ref="B20:F20"/>
    <mergeCell ref="B3:F3"/>
    <mergeCell ref="B37:F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 ht="6" customHeight="1"/>
    <row r="2" ht="52" customHeight="1">
      <c r="A2" s="279" t="inlineStr">
        <is>
          <t>📊  RESUMEN EJECUTIVO — BOOTCAMP DIGITAL JUNIO 2026</t>
        </is>
      </c>
    </row>
    <row r="3" ht="26" customHeight="1">
      <c r="A3" s="280" t="inlineStr">
        <is>
          <t>Sinergéticos / Synergy for Education  |  Modelo financiero corregido — Abril 2026</t>
        </is>
      </c>
    </row>
    <row r="4" ht="8" customHeight="1"/>
    <row r="5" ht="32" customHeight="1">
      <c r="B5" s="281" t="inlineStr">
        <is>
          <t>▸  PARÁMETROS BASE DEL MODELO</t>
        </is>
      </c>
    </row>
    <row r="6" ht="26" customHeight="1">
      <c r="B6" s="282" t="inlineStr">
        <is>
          <t>PARÁMETRO</t>
        </is>
      </c>
      <c r="C6" s="283" t="inlineStr">
        <is>
          <t>ESC. A — SOLO PAUTA</t>
        </is>
      </c>
      <c r="D6" s="284" t="inlineStr">
        <is>
          <t>ESC. B — PAUTA + CLUB</t>
        </is>
      </c>
    </row>
    <row r="7" ht="22" customHeight="1">
      <c r="B7" s="285" t="inlineStr">
        <is>
          <t>Fuente (Dashboard)</t>
        </is>
      </c>
      <c r="C7" s="286" t="inlineStr">
        <is>
          <t>REAL JUN 2026  (col. E)</t>
        </is>
      </c>
      <c r="D7" s="286" t="inlineStr">
        <is>
          <t>TOTAL  (col. H = E + Club)</t>
        </is>
      </c>
    </row>
    <row r="8" ht="22" customHeight="1">
      <c r="B8" s="287" t="inlineStr">
        <is>
          <t>Leads — Pauta</t>
        </is>
      </c>
      <c r="C8" s="288" t="inlineStr">
        <is>
          <t>55,556</t>
        </is>
      </c>
      <c r="D8" s="288" t="inlineStr">
        <is>
          <t>55,556</t>
        </is>
      </c>
    </row>
    <row r="9" ht="22" customHeight="1">
      <c r="B9" s="285" t="inlineStr">
        <is>
          <t>Leads — Club Sinergético</t>
        </is>
      </c>
      <c r="C9" s="286" t="inlineStr">
        <is>
          <t>—  (no aplica)</t>
        </is>
      </c>
      <c r="D9" s="286" t="inlineStr">
        <is>
          <t>22,000  (orgánico, $0 CPL)</t>
        </is>
      </c>
    </row>
    <row r="10" ht="22" customHeight="1">
      <c r="B10" s="287" t="inlineStr">
        <is>
          <t>Total leads</t>
        </is>
      </c>
      <c r="C10" s="288" t="inlineStr">
        <is>
          <t>55,556</t>
        </is>
      </c>
      <c r="D10" s="288" t="inlineStr">
        <is>
          <t>77,556</t>
        </is>
      </c>
    </row>
    <row r="11" ht="22" customHeight="1">
      <c r="B11" s="285" t="inlineStr">
        <is>
          <t>Inversión de pauta</t>
        </is>
      </c>
      <c r="C11" s="286" t="inlineStr">
        <is>
          <t>$1,500,000</t>
        </is>
      </c>
      <c r="D11" s="286" t="inlineStr">
        <is>
          <t>$1,500,000  (sin cambio)</t>
        </is>
      </c>
    </row>
    <row r="12" ht="22" customHeight="1">
      <c r="B12" s="287" t="inlineStr">
        <is>
          <t>CPL pauta / CPL blended</t>
        </is>
      </c>
      <c r="C12" s="288" t="inlineStr">
        <is>
          <t>$27.00</t>
        </is>
      </c>
      <c r="D12" s="288" t="inlineStr">
        <is>
          <t>$27.00 pauta  /  $19.34 blended</t>
        </is>
      </c>
    </row>
    <row r="13" ht="22" customHeight="1">
      <c r="B13" s="285" t="inlineStr">
        <is>
          <t>Transacciones estimadas</t>
        </is>
      </c>
      <c r="C13" s="286" t="inlineStr">
        <is>
          <t>239</t>
        </is>
      </c>
      <c r="D13" s="286" t="inlineStr">
        <is>
          <t>278  (+39 del Club)</t>
        </is>
      </c>
    </row>
    <row r="14" ht="22" customHeight="1">
      <c r="B14" s="287" t="inlineStr">
        <is>
          <t>Tasa de conversión</t>
        </is>
      </c>
      <c r="C14" s="288" t="inlineStr">
        <is>
          <t>0.430%</t>
        </is>
      </c>
      <c r="D14" s="288" t="inlineStr">
        <is>
          <t>0.359%  blended</t>
        </is>
      </c>
    </row>
    <row r="15" ht="22" customHeight="1">
      <c r="B15" s="285" t="inlineStr">
        <is>
          <t>Ingreso bruto</t>
        </is>
      </c>
      <c r="C15" s="286" t="inlineStr">
        <is>
          <t>$5,780,558</t>
        </is>
      </c>
      <c r="D15" s="286" t="inlineStr">
        <is>
          <t>$8,633,914</t>
        </is>
      </c>
    </row>
    <row r="16" ht="8" customHeight="1"/>
    <row r="17" ht="32" customHeight="1">
      <c r="B17" s="289" t="inlineStr">
        <is>
          <t>▸  CASCADA DE COSTOS — ESCENARIO A  (Pauta solo)</t>
        </is>
      </c>
    </row>
    <row r="18" ht="24" customHeight="1">
      <c r="B18" s="282" t="inlineStr">
        <is>
          <t>CONCEPTO</t>
        </is>
      </c>
      <c r="C18" s="282" t="inlineStr">
        <is>
          <t>MONTO (MXN)</t>
        </is>
      </c>
      <c r="D18" s="282" t="inlineStr">
        <is>
          <t>NOTA</t>
        </is>
      </c>
    </row>
    <row r="19" ht="22" customHeight="1">
      <c r="B19" s="290" t="inlineStr">
        <is>
          <t>Ingreso bruto  (239 trans × $24,186 avg)</t>
        </is>
      </c>
      <c r="C19" s="291" t="n">
        <v>5780558</v>
      </c>
      <c r="D19" s="292" t="inlineStr">
        <is>
          <t>Columna E</t>
        </is>
      </c>
    </row>
    <row r="20" ht="22" customHeight="1">
      <c r="B20" s="293" t="inlineStr">
        <is>
          <t>− Cascada de pagos (−40%)</t>
        </is>
      </c>
      <c r="C20" s="294" t="n">
        <v>-2312223.2</v>
      </c>
      <c r="D20" s="295" t="inlineStr">
        <is>
          <t>−40%</t>
        </is>
      </c>
    </row>
    <row r="21" ht="22" customHeight="1">
      <c r="B21" s="296">
        <f> Ingreso neto variable</f>
        <v/>
      </c>
      <c r="C21" s="297" t="n">
        <v>3468334.8</v>
      </c>
      <c r="D21" s="298" t="inlineStr">
        <is>
          <t>60%</t>
        </is>
      </c>
    </row>
    <row r="22" ht="22" customHeight="1">
      <c r="B22" s="293" t="inlineStr">
        <is>
          <t>− Twilio / WhatsApp  (55,556 leads × $13)</t>
        </is>
      </c>
      <c r="C22" s="294" t="n">
        <v>-722228</v>
      </c>
      <c r="D22" s="295" t="inlineStr">
        <is>
          <t>$13/lead</t>
        </is>
      </c>
    </row>
    <row r="23" ht="22" customHeight="1">
      <c r="B23" s="293" t="inlineStr">
        <is>
          <t>− LLM tokens  (5% del bruto pauta)</t>
        </is>
      </c>
      <c r="C23" s="294" t="n">
        <v>-289027.9</v>
      </c>
      <c r="D23" s="295" t="inlineStr">
        <is>
          <t>5%</t>
        </is>
      </c>
    </row>
    <row r="24" ht="22" customHeight="1">
      <c r="B24" s="293" t="inlineStr">
        <is>
          <t>− Speakers del evento  (costo fijo)</t>
        </is>
      </c>
      <c r="C24" s="294" t="n">
        <v>-150000</v>
      </c>
      <c r="D24" s="295" t="inlineStr">
        <is>
          <t>$150K fijo</t>
        </is>
      </c>
    </row>
    <row r="25" ht="22" customHeight="1">
      <c r="B25" s="293" t="inlineStr">
        <is>
          <t>− Inversión de pauta</t>
        </is>
      </c>
      <c r="C25" s="294" t="n">
        <v>-1500000</v>
      </c>
      <c r="D25" s="295" t="inlineStr">
        <is>
          <t>$1.5M</t>
        </is>
      </c>
    </row>
    <row r="26" ht="22" customHeight="1">
      <c r="B26" s="299">
        <f> UTILIDAD NETA  —  ESCENARIO A</f>
        <v/>
      </c>
      <c r="C26" s="300" t="n">
        <v>807078.8999999999</v>
      </c>
      <c r="D26" s="301" t="inlineStr"/>
    </row>
    <row r="27" ht="22" customHeight="1">
      <c r="B27" s="302" t="inlineStr">
        <is>
          <t>Margen neto: 14.0%    |    ROI sobre inversión: +53.8%    |    Utilidad: $807,079</t>
        </is>
      </c>
      <c r="C27" s="332" t="n"/>
      <c r="D27" s="328" t="n"/>
    </row>
    <row r="28" ht="8" customHeight="1"/>
    <row r="29" ht="32" customHeight="1">
      <c r="B29" s="281" t="inlineStr">
        <is>
          <t>▸  CASCADA DE COSTOS — ESCENARIO B  (Pauta + Club Sinergético)</t>
        </is>
      </c>
    </row>
    <row r="30" ht="24" customHeight="1">
      <c r="B30" s="282" t="inlineStr">
        <is>
          <t>CONCEPTO</t>
        </is>
      </c>
      <c r="C30" s="282" t="inlineStr">
        <is>
          <t>MONTO (MXN)</t>
        </is>
      </c>
      <c r="D30" s="282" t="inlineStr">
        <is>
          <t>NOTA</t>
        </is>
      </c>
    </row>
    <row r="31" ht="22" customHeight="1">
      <c r="B31" s="303" t="inlineStr">
        <is>
          <t>Ingreso bruto pauta   (239 trans × $24,186)</t>
        </is>
      </c>
      <c r="C31" s="304" t="n">
        <v>5780558</v>
      </c>
      <c r="D31" s="298" t="inlineStr">
        <is>
          <t>Esc. A</t>
        </is>
      </c>
    </row>
    <row r="32" ht="22" customHeight="1">
      <c r="B32" s="303" t="inlineStr">
        <is>
          <t>+ Ingreso bruto Club  (39 trans, canal orgánico)</t>
        </is>
      </c>
      <c r="C32" s="304" t="n">
        <v>2853356</v>
      </c>
      <c r="D32" s="298" t="inlineStr">
        <is>
          <t>+Club</t>
        </is>
      </c>
    </row>
    <row r="33" ht="22" customHeight="1">
      <c r="B33" s="290">
        <f> Ingreso bruto TOTAL</f>
        <v/>
      </c>
      <c r="C33" s="291" t="n">
        <v>8633914</v>
      </c>
      <c r="D33" s="292" t="inlineStr"/>
    </row>
    <row r="34" ht="22" customHeight="1">
      <c r="B34" s="293" t="inlineStr">
        <is>
          <t>− Cascada de pagos (−40%)</t>
        </is>
      </c>
      <c r="C34" s="294" t="n">
        <v>-3453565.6</v>
      </c>
      <c r="D34" s="295" t="inlineStr">
        <is>
          <t>−40%</t>
        </is>
      </c>
    </row>
    <row r="35" ht="22" customHeight="1">
      <c r="B35" s="296">
        <f> Ingreso neto variable</f>
        <v/>
      </c>
      <c r="C35" s="297" t="n">
        <v>5180348.399999999</v>
      </c>
      <c r="D35" s="298" t="inlineStr">
        <is>
          <t>60%</t>
        </is>
      </c>
    </row>
    <row r="36" ht="22" customHeight="1">
      <c r="B36" s="293" t="inlineStr">
        <is>
          <t>− Twilio / WA  (SOLO pauta: 55,556 × $13)</t>
        </is>
      </c>
      <c r="C36" s="294" t="n">
        <v>-722228</v>
      </c>
      <c r="D36" s="295" t="inlineStr">
        <is>
          <t>≠ Club</t>
        </is>
      </c>
    </row>
    <row r="37" ht="22" customHeight="1">
      <c r="B37" s="293" t="inlineStr">
        <is>
          <t>− LLM tokens  (5% del bruto pauta únicamente)</t>
        </is>
      </c>
      <c r="C37" s="294" t="n">
        <v>-289027.9</v>
      </c>
      <c r="D37" s="295" t="inlineStr">
        <is>
          <t>≠ Club</t>
        </is>
      </c>
    </row>
    <row r="38" ht="22" customHeight="1">
      <c r="B38" s="293" t="inlineStr">
        <is>
          <t>− Speakers del evento  (costo fijo)</t>
        </is>
      </c>
      <c r="C38" s="294" t="n">
        <v>-150000</v>
      </c>
      <c r="D38" s="295" t="inlineStr">
        <is>
          <t>$150K</t>
        </is>
      </c>
    </row>
    <row r="39" ht="22" customHeight="1">
      <c r="B39" s="293" t="inlineStr">
        <is>
          <t>− Inversión de pauta</t>
        </is>
      </c>
      <c r="C39" s="294" t="n">
        <v>-1500000</v>
      </c>
      <c r="D39" s="295" t="inlineStr">
        <is>
          <t>$1.5M</t>
        </is>
      </c>
    </row>
    <row r="40" ht="22" customHeight="1">
      <c r="B40" s="305">
        <f> UTILIDAD NETA  —  ESCENARIO B</f>
        <v/>
      </c>
      <c r="C40" s="306" t="n">
        <v>2519092.5</v>
      </c>
      <c r="D40" s="307" t="inlineStr"/>
    </row>
    <row r="41" ht="22" customHeight="1">
      <c r="B41" s="308" t="inlineStr">
        <is>
          <t>Margen neto: 29.2%    |    ROI: +167.9%    |    Club aporta +$1,712,014 sin costo adicional</t>
        </is>
      </c>
      <c r="C41" s="332" t="n"/>
      <c r="D41" s="328" t="n"/>
    </row>
    <row r="42" ht="8" customHeight="1"/>
    <row r="43" ht="32" customHeight="1">
      <c r="B43" s="309" t="inlineStr">
        <is>
          <t>▸  COMPARATIVO DE ESCENARIOS</t>
        </is>
      </c>
    </row>
    <row r="44" ht="26" customHeight="1">
      <c r="B44" s="282" t="inlineStr">
        <is>
          <t>MÉTRICA</t>
        </is>
      </c>
      <c r="C44" s="283" t="inlineStr">
        <is>
          <t>ESC. A — SOLO PAUTA</t>
        </is>
      </c>
      <c r="D44" s="284" t="inlineStr">
        <is>
          <t>ESC. B — PAUTA + CLUB</t>
        </is>
      </c>
    </row>
    <row r="45" ht="22" customHeight="1">
      <c r="B45" s="310" t="inlineStr">
        <is>
          <t>Leads totales</t>
        </is>
      </c>
      <c r="C45" s="311" t="inlineStr">
        <is>
          <t>55,556</t>
        </is>
      </c>
      <c r="D45" s="311" t="inlineStr">
        <is>
          <t>77,556  (+22,000 Club)</t>
        </is>
      </c>
    </row>
    <row r="46" ht="22" customHeight="1">
      <c r="B46" s="287" t="inlineStr">
        <is>
          <t>Inversión de pauta</t>
        </is>
      </c>
      <c r="C46" s="288" t="inlineStr">
        <is>
          <t>$1,500,000</t>
        </is>
      </c>
      <c r="D46" s="288" t="inlineStr">
        <is>
          <t>$1,500,000</t>
        </is>
      </c>
    </row>
    <row r="47" ht="22" customHeight="1">
      <c r="B47" s="310" t="inlineStr">
        <is>
          <t>CPL pauta / CPL blended</t>
        </is>
      </c>
      <c r="C47" s="311" t="inlineStr">
        <is>
          <t>$27.00</t>
        </is>
      </c>
      <c r="D47" s="311" t="inlineStr">
        <is>
          <t>$27.00  /  blended $19.34</t>
        </is>
      </c>
    </row>
    <row r="48" ht="22" customHeight="1">
      <c r="B48" s="287" t="inlineStr">
        <is>
          <t>Transacciones</t>
        </is>
      </c>
      <c r="C48" s="288" t="inlineStr">
        <is>
          <t>239</t>
        </is>
      </c>
      <c r="D48" s="288" t="inlineStr">
        <is>
          <t>278  (+39)</t>
        </is>
      </c>
    </row>
    <row r="49" ht="22" customHeight="1">
      <c r="B49" s="310" t="inlineStr">
        <is>
          <t>Tasa de conversión</t>
        </is>
      </c>
      <c r="C49" s="311" t="inlineStr">
        <is>
          <t>0.430%</t>
        </is>
      </c>
      <c r="D49" s="311" t="inlineStr">
        <is>
          <t>0.359%  blended</t>
        </is>
      </c>
    </row>
    <row r="50" ht="22" customHeight="1">
      <c r="B50" s="287" t="inlineStr">
        <is>
          <t>Ingreso bruto</t>
        </is>
      </c>
      <c r="C50" s="288" t="inlineStr">
        <is>
          <t>$5,780,558</t>
        </is>
      </c>
      <c r="D50" s="288" t="inlineStr">
        <is>
          <t>$8,633,914</t>
        </is>
      </c>
    </row>
    <row r="51" ht="22" customHeight="1">
      <c r="B51" s="310" t="inlineStr">
        <is>
          <t>Ingreso neto variable (60%)</t>
        </is>
      </c>
      <c r="C51" s="311" t="inlineStr">
        <is>
          <t>$3,468,335</t>
        </is>
      </c>
      <c r="D51" s="311" t="inlineStr">
        <is>
          <t>$5,180,348</t>
        </is>
      </c>
    </row>
    <row r="52" ht="22" customHeight="1">
      <c r="B52" s="287" t="inlineStr">
        <is>
          <t>Total costos (Twilio+LLM+Spk+Inv)</t>
        </is>
      </c>
      <c r="C52" s="288" t="inlineStr">
        <is>
          <t>$2,661,256</t>
        </is>
      </c>
      <c r="D52" s="288" t="inlineStr">
        <is>
          <t>$2,661,256</t>
        </is>
      </c>
    </row>
    <row r="53" ht="22" customHeight="1">
      <c r="B53" s="312" t="inlineStr">
        <is>
          <t>UTILIDAD NETA</t>
        </is>
      </c>
      <c r="C53" s="302" t="inlineStr">
        <is>
          <t>$807,079</t>
        </is>
      </c>
      <c r="D53" s="302" t="inlineStr">
        <is>
          <t>$2,519,092</t>
        </is>
      </c>
    </row>
    <row r="54" ht="22" customHeight="1">
      <c r="B54" s="287" t="inlineStr">
        <is>
          <t>Margen neto</t>
        </is>
      </c>
      <c r="C54" s="288" t="inlineStr">
        <is>
          <t>14.0%</t>
        </is>
      </c>
      <c r="D54" s="288" t="inlineStr">
        <is>
          <t>29.2%</t>
        </is>
      </c>
    </row>
    <row r="55" ht="22" customHeight="1">
      <c r="B55" s="310" t="inlineStr">
        <is>
          <t>ROI sobre inversión pauta</t>
        </is>
      </c>
      <c r="C55" s="311" t="inlineStr">
        <is>
          <t>+53.8%</t>
        </is>
      </c>
      <c r="D55" s="311" t="inlineStr">
        <is>
          <t>+167.9%</t>
        </is>
      </c>
    </row>
    <row r="56" ht="22" customHeight="1">
      <c r="B56" s="287" t="inlineStr">
        <is>
          <t>Ganancia incremental Club</t>
        </is>
      </c>
      <c r="C56" s="288" t="inlineStr">
        <is>
          <t>—</t>
        </is>
      </c>
      <c r="D56" s="288" t="inlineStr">
        <is>
          <t>+$1,712,014</t>
        </is>
      </c>
    </row>
    <row r="57" ht="8" customHeight="1"/>
    <row r="58" ht="32" customHeight="1">
      <c r="B58" s="313" t="inlineStr">
        <is>
          <t>▸  PARÁMETROS CPL — EQUIPO DE PAUTA</t>
        </is>
      </c>
    </row>
    <row r="59" ht="24" customHeight="1">
      <c r="B59" s="282" t="inlineStr">
        <is>
          <t>INDICADOR</t>
        </is>
      </c>
      <c r="C59" s="282" t="inlineStr">
        <is>
          <t>VALOR</t>
        </is>
      </c>
      <c r="D59" s="282" t="inlineStr">
        <is>
          <t>IMPLICACIÓN</t>
        </is>
      </c>
    </row>
    <row r="60" ht="30" customHeight="1">
      <c r="B60" s="314" t="inlineStr">
        <is>
          <t>🎯  CPL OBJETIVO</t>
        </is>
      </c>
      <c r="C60" s="315" t="inlineStr">
        <is>
          <t>≤  $27</t>
        </is>
      </c>
      <c r="D60" s="316" t="inlineStr">
        <is>
          <t>Utilidad proyectada ~$807,079 MXN — meta primaria del equipo de pauta</t>
        </is>
      </c>
    </row>
    <row r="61" ht="30" customHeight="1">
      <c r="B61" s="317" t="inlineStr">
        <is>
          <t>⚠️  CPL ALARMA</t>
        </is>
      </c>
      <c r="C61" s="318" t="inlineStr">
        <is>
          <t>$35 – $40</t>
        </is>
      </c>
      <c r="D61" s="319" t="inlineStr">
        <is>
          <t>Campaña todavía rentable pero ROI bajo — optimizar audiencias y creativos urgente</t>
        </is>
      </c>
    </row>
    <row r="62" ht="30" customHeight="1">
      <c r="B62" s="320" t="inlineStr">
        <is>
          <t>🔴  CPL BREAK-EVEN</t>
        </is>
      </c>
      <c r="C62" s="321" t="inlineStr">
        <is>
          <t>$40.18</t>
        </is>
      </c>
      <c r="D62" s="322" t="inlineStr">
        <is>
          <t>Punto de equilibrio. Por encima de este CPL el evento opera en pérdida.</t>
        </is>
      </c>
    </row>
    <row r="63" ht="30" customHeight="1">
      <c r="B63" s="323" t="inlineStr">
        <is>
          <t>📌  Base histórica</t>
        </is>
      </c>
      <c r="C63" s="324" t="inlineStr">
        <is>
          <t>$27</t>
        </is>
      </c>
      <c r="D63" s="325" t="inlineStr">
        <is>
          <t>Promedio real de campañas anteriores. Fundamento de todo el modelo financiero.</t>
        </is>
      </c>
    </row>
    <row r="64" ht="8" customHeight="1"/>
    <row r="65" ht="32" customHeight="1">
      <c r="B65" s="309" t="inlineStr">
        <is>
          <t>▸  NOTAS Y SUPUESTOS DEL MODELO</t>
        </is>
      </c>
    </row>
    <row r="66" ht="36" customHeight="1">
      <c r="B66" s="326" t="inlineStr">
        <is>
          <t>Cascada de pagos (−40%)</t>
        </is>
      </c>
      <c r="C66" s="327" t="inlineStr">
        <is>
          <t>Cargos bancarios, procesadores de pago, reembolsos, comisiones de afiliados. Aplicado sobre ingreso bruto total de cada escenario.</t>
        </is>
      </c>
      <c r="D66" s="328" t="n"/>
    </row>
    <row r="67" ht="36" customHeight="1">
      <c r="B67" s="329" t="inlineStr">
        <is>
          <t>Twilio / WhatsApp</t>
        </is>
      </c>
      <c r="C67" s="330" t="inlineStr">
        <is>
          <t>Costo de mensajería: $13 MXN por lead. Se aplica ÚNICAMENTE a leads de pauta (55,556). Los leads del Club Sinergético NO generan costo Twilio.</t>
        </is>
      </c>
      <c r="D67" s="328" t="n"/>
    </row>
    <row r="68" ht="36" customHeight="1">
      <c r="B68" s="326" t="inlineStr">
        <is>
          <t>LLM / Tokens de IA</t>
        </is>
      </c>
      <c r="C68" s="327" t="inlineStr">
        <is>
          <t>5% del ingreso bruto de la base de pauta ($5,780,558 × 5% = $289,028). Aplicado SOLO a pauta. El Club Sinergético no genera costo LLM.</t>
        </is>
      </c>
      <c r="D68" s="328" t="n"/>
    </row>
    <row r="69" ht="36" customHeight="1">
      <c r="B69" s="329" t="inlineStr">
        <is>
          <t>Speakers del evento</t>
        </is>
      </c>
      <c r="C69" s="330" t="inlineStr">
        <is>
          <t>Costo fijo de $150,000 MXN, independiente del número de leads o transacciones.</t>
        </is>
      </c>
      <c r="D69" s="328" t="n"/>
    </row>
    <row r="70" ht="36" customHeight="1">
      <c r="B70" s="326" t="inlineStr">
        <is>
          <t>Club Sinergético (canal orgánico)</t>
        </is>
      </c>
      <c r="C70" s="327" t="inlineStr">
        <is>
          <t>22,000 leads a $0 CPL. Aporta 39 transacciones netas incrementales y ~$2.85M de ingreso bruto adicional sin costos de Twilio ni LLM.</t>
        </is>
      </c>
      <c r="D70" s="328" t="n"/>
    </row>
    <row r="71" ht="36" customHeight="1">
      <c r="B71" s="329" t="inlineStr">
        <is>
          <t>Columnas del Dashboard excluidas</t>
        </is>
      </c>
      <c r="C71" s="330" t="inlineStr">
        <is>
          <t>Se excluyeron: columna D (META JUN 2026) y columna F (MÉTODO CEO). Modelo basado en col. E (REAL JUN 2026) y col. H (TOTAL = Real + Club).</t>
        </is>
      </c>
      <c r="D71" s="328" t="n"/>
    </row>
    <row r="72" ht="8" customHeight="1"/>
    <row r="73" ht="22" customHeight="1">
      <c r="A73" s="331" t="inlineStr">
        <is>
          <t>Sinergéticos / Synergy for Education  |  Bootcamp Digital Junio 5–7, 2026  |  Modelo financiero corregido — Abril 2026</t>
        </is>
      </c>
    </row>
    <row r="75" ht="8" customHeight="1"/>
    <row r="76" ht="32" customHeight="1">
      <c r="B76" s="333" t="inlineStr">
        <is>
          <t>▸  ECONOMÍA POR LEAD — PARÁMETROS PARA EQUIPO DE PAUTA</t>
        </is>
      </c>
    </row>
    <row r="77" ht="20" customHeight="1">
      <c r="B77" s="334" t="inlineStr">
        <is>
          <t>Fuente: Dashboard REAL JUN 2026 — base de cálculo por lead de pauta</t>
        </is>
      </c>
    </row>
    <row r="78" ht="26" customHeight="1">
      <c r="B78" s="335" t="inlineStr">
        <is>
          <t>CONCEPTO</t>
        </is>
      </c>
      <c r="C78" s="335" t="inlineStr">
        <is>
          <t>VALOR</t>
        </is>
      </c>
      <c r="D78" s="335" t="inlineStr">
        <is>
          <t>NOTAS</t>
        </is>
      </c>
    </row>
    <row r="79" ht="22" customHeight="1">
      <c r="B79" s="336" t="inlineStr">
        <is>
          <t>Leads meta total (PAUTA)</t>
        </is>
      </c>
      <c r="C79" s="337" t="inlineStr">
        <is>
          <t>55,556</t>
        </is>
      </c>
      <c r="D79" s="338" t="inlineStr">
        <is>
          <t>REAL JUN 2026 — base pauta</t>
        </is>
      </c>
    </row>
    <row r="80" ht="22" customHeight="1">
      <c r="B80" s="339" t="inlineStr">
        <is>
          <t>Leads Club Sinergético</t>
        </is>
      </c>
      <c r="C80" s="340" t="inlineStr">
        <is>
          <t>22,000</t>
        </is>
      </c>
      <c r="D80" s="341" t="inlineStr">
        <is>
          <t>Canal orgánico, $0 CPL</t>
        </is>
      </c>
    </row>
    <row r="81" ht="22" customHeight="1">
      <c r="B81" s="336" t="inlineStr">
        <is>
          <t>Leads Totales</t>
        </is>
      </c>
      <c r="C81" s="337" t="inlineStr">
        <is>
          <t>77,556</t>
        </is>
      </c>
      <c r="D81" s="338" t="inlineStr">
        <is>
          <t>Pauta + Club</t>
        </is>
      </c>
    </row>
    <row r="82" ht="22" customHeight="1">
      <c r="B82" s="339" t="inlineStr">
        <is>
          <t>Inversión en pauta</t>
        </is>
      </c>
      <c r="C82" s="340" t="inlineStr">
        <is>
          <t>$1,500,000</t>
        </is>
      </c>
      <c r="D82" s="341" t="inlineStr">
        <is>
          <t>Presupuesto total de campaña</t>
        </is>
      </c>
    </row>
    <row r="83" ht="22" customHeight="1">
      <c r="B83" s="336" t="inlineStr">
        <is>
          <t>CPL real / objetivo</t>
        </is>
      </c>
      <c r="C83" s="337" t="inlineStr">
        <is>
          <t>$27</t>
        </is>
      </c>
      <c r="D83" s="338" t="inlineStr">
        <is>
          <t>Promedio histórico de campañas — base del modelo</t>
        </is>
      </c>
    </row>
    <row r="84" ht="22" customHeight="1">
      <c r="B84" s="339" t="inlineStr">
        <is>
          <t>Transacciones esperadas (PAUTA)</t>
        </is>
      </c>
      <c r="C84" s="340" t="inlineStr">
        <is>
          <t>239</t>
        </is>
      </c>
      <c r="D84" s="341" t="inlineStr">
        <is>
          <t>REAL JUN 2026 — columna E Dashboard</t>
        </is>
      </c>
    </row>
    <row r="85" ht="22" customHeight="1">
      <c r="B85" s="336" t="inlineStr">
        <is>
          <t>Ticket promedio / transacción</t>
        </is>
      </c>
      <c r="C85" s="337" t="inlineStr">
        <is>
          <t>$24,186</t>
        </is>
      </c>
      <c r="D85" s="338" t="inlineStr">
        <is>
          <t>Ingreso bruto ÷ transacciones pauta</t>
        </is>
      </c>
    </row>
    <row r="86" ht="6" customHeight="1">
      <c r="B86" s="342" t="n"/>
    </row>
    <row r="87" ht="22" customHeight="1">
      <c r="B87" s="343" t="inlineStr">
        <is>
          <t>Ingreso BRUTO por lead</t>
        </is>
      </c>
      <c r="C87" s="344" t="inlineStr">
        <is>
          <t>$104.05</t>
        </is>
      </c>
      <c r="D87" s="345" t="inlineStr">
        <is>
          <t>104.0492</t>
        </is>
      </c>
    </row>
    <row r="88" ht="22" customHeight="1">
      <c r="B88" s="346" t="inlineStr">
        <is>
          <t>− Cascada variable (−40%)</t>
        </is>
      </c>
      <c r="C88" s="347" t="inlineStr">
        <is>
          <t>-41.62</t>
        </is>
      </c>
      <c r="D88" s="348" t="inlineStr">
        <is>
          <t>Comisiones 15% + Banco 4% + IVA 16% + Merma 5%</t>
        </is>
      </c>
    </row>
    <row r="89" ht="22" customHeight="1">
      <c r="B89" s="349">
        <f> Ingreso NETO variable / lead</f>
        <v/>
      </c>
      <c r="C89" s="350" t="inlineStr">
        <is>
          <t>$62.43</t>
        </is>
      </c>
      <c r="D89" s="338" t="inlineStr">
        <is>
          <t>62.43</t>
        </is>
      </c>
    </row>
    <row r="90" ht="22" customHeight="1">
      <c r="B90" s="346" t="inlineStr">
        <is>
          <t>− Twilio  (15 msgs × $0.87)</t>
        </is>
      </c>
      <c r="C90" s="347" t="inlineStr">
        <is>
          <t>-13.00</t>
        </is>
      </c>
      <c r="D90" s="348" t="inlineStr">
        <is>
          <t>15 interacciones × $0.87 MXN (WhatsApp API)</t>
        </is>
      </c>
    </row>
    <row r="91" ht="22" customHeight="1">
      <c r="B91" s="346" t="inlineStr">
        <is>
          <t>− LLM tokens  (5% del bruto)</t>
        </is>
      </c>
      <c r="C91" s="347" t="inlineStr">
        <is>
          <t>-5.20</t>
        </is>
      </c>
      <c r="D91" s="348" t="inlineStr">
        <is>
          <t>5% de $104.05 — reserva IA / automatización</t>
        </is>
      </c>
    </row>
    <row r="92" ht="22" customHeight="1">
      <c r="B92" s="346" t="inlineStr">
        <is>
          <t>− Speakers prorrateado/lead</t>
        </is>
      </c>
      <c r="C92" s="347" t="inlineStr">
        <is>
          <t>-2.70</t>
        </is>
      </c>
      <c r="D92" s="348" t="inlineStr">
        <is>
          <t>$150,000 ÷ 55,556 leads pauta</t>
        </is>
      </c>
    </row>
    <row r="93" ht="28" customHeight="1">
      <c r="B93" s="351" t="inlineStr">
        <is>
          <t>★  VALOR NETO DISPONIBLE / PAUTA  →  CPL máximo para break-even</t>
        </is>
      </c>
      <c r="C93" s="352" t="inlineStr">
        <is>
          <t>$41.53</t>
        </is>
      </c>
      <c r="D93" s="353" t="inlineStr">
        <is>
          <t>CPL máximo para operar sin pérdida (escenario pauta sola)</t>
        </is>
      </c>
    </row>
    <row r="94" ht="8" customHeight="1"/>
    <row r="95" ht="32" customHeight="1">
      <c r="B95" s="354" t="inlineStr">
        <is>
          <t>▸  CALCULADORA DE INVERSIÓN — 3 ESCENARIOS</t>
        </is>
      </c>
    </row>
    <row r="96" ht="26" customHeight="1">
      <c r="B96" s="335" t="inlineStr">
        <is>
          <t>MÉTRICA</t>
        </is>
      </c>
      <c r="C96" s="355" t="inlineStr">
        <is>
          <t>💙 $1.5M CONSERV.</t>
        </is>
      </c>
      <c r="D96" s="356" t="inlineStr">
        <is>
          <t>🟡 $2M MEDIO</t>
        </is>
      </c>
      <c r="E96" s="357" t="inlineStr">
        <is>
          <t>🔴 $3M AGRESIVO</t>
        </is>
      </c>
    </row>
    <row r="97" ht="22" customHeight="1">
      <c r="B97" s="358" t="inlineStr">
        <is>
          <t>Inversión en pauta ($)</t>
        </is>
      </c>
      <c r="C97" s="359" t="inlineStr">
        <is>
          <t>$1,500,000</t>
        </is>
      </c>
      <c r="D97" s="359" t="inlineStr">
        <is>
          <t>$2,000,000</t>
        </is>
      </c>
      <c r="E97" s="359" t="inlineStr">
        <is>
          <t>$3,000,000</t>
        </is>
      </c>
    </row>
    <row r="98" ht="22" customHeight="1">
      <c r="B98" s="339" t="inlineStr">
        <is>
          <t>Speakers fijos ($)</t>
        </is>
      </c>
      <c r="C98" s="340" t="inlineStr">
        <is>
          <t>$150,000</t>
        </is>
      </c>
      <c r="D98" s="340" t="inlineStr">
        <is>
          <t>$150,000</t>
        </is>
      </c>
      <c r="E98" s="340" t="inlineStr">
        <is>
          <t>$150,000</t>
        </is>
      </c>
    </row>
    <row r="99" ht="22" customHeight="1">
      <c r="B99" s="358" t="inlineStr">
        <is>
          <t>CPL objetivo ($)</t>
        </is>
      </c>
      <c r="C99" s="359" t="inlineStr">
        <is>
          <t>$27</t>
        </is>
      </c>
      <c r="D99" s="359" t="inlineStr">
        <is>
          <t>$20</t>
        </is>
      </c>
      <c r="E99" s="359" t="inlineStr">
        <is>
          <t>$18</t>
        </is>
      </c>
    </row>
    <row r="100" ht="22" customHeight="1">
      <c r="B100" s="339" t="inlineStr">
        <is>
          <t>Leads pauta</t>
        </is>
      </c>
      <c r="C100" s="340" t="inlineStr">
        <is>
          <t>55,555</t>
        </is>
      </c>
      <c r="D100" s="340" t="inlineStr">
        <is>
          <t>100,000</t>
        </is>
      </c>
      <c r="E100" s="340" t="inlineStr">
        <is>
          <t>166,666</t>
        </is>
      </c>
    </row>
    <row r="101" ht="22" customHeight="1">
      <c r="B101" s="360" t="inlineStr">
        <is>
          <t>Leads Club Sinergético (fijo)</t>
        </is>
      </c>
      <c r="C101" s="361" t="inlineStr">
        <is>
          <t>22,000</t>
        </is>
      </c>
      <c r="D101" s="361" t="inlineStr">
        <is>
          <t>22,000</t>
        </is>
      </c>
      <c r="E101" s="361" t="inlineStr">
        <is>
          <t>22,000</t>
        </is>
      </c>
    </row>
    <row r="102" ht="22" customHeight="1">
      <c r="B102" s="339" t="inlineStr">
        <is>
          <t>Total leads</t>
        </is>
      </c>
      <c r="C102" s="340" t="inlineStr">
        <is>
          <t>77,555</t>
        </is>
      </c>
      <c r="D102" s="340" t="inlineStr">
        <is>
          <t>122,000</t>
        </is>
      </c>
      <c r="E102" s="340" t="inlineStr">
        <is>
          <t>188,666</t>
        </is>
      </c>
    </row>
    <row r="103" ht="22" customHeight="1">
      <c r="B103" s="360" t="inlineStr">
        <is>
          <t>Blacks pauta  (0.430%)</t>
        </is>
      </c>
      <c r="C103" s="361" t="inlineStr">
        <is>
          <t>239</t>
        </is>
      </c>
      <c r="D103" s="361" t="inlineStr">
        <is>
          <t>430</t>
        </is>
      </c>
      <c r="E103" s="361" t="inlineStr">
        <is>
          <t>717</t>
        </is>
      </c>
    </row>
    <row r="104" ht="22" customHeight="1">
      <c r="B104" s="339" t="inlineStr">
        <is>
          <t>Blacks Club  (39 fijo)</t>
        </is>
      </c>
      <c r="C104" s="340" t="inlineStr">
        <is>
          <t>39</t>
        </is>
      </c>
      <c r="D104" s="340" t="inlineStr">
        <is>
          <t>39</t>
        </is>
      </c>
      <c r="E104" s="340" t="inlineStr">
        <is>
          <t>39</t>
        </is>
      </c>
    </row>
    <row r="105" ht="22" customHeight="1">
      <c r="B105" s="358" t="inlineStr">
        <is>
          <t>Total Blacks esperados</t>
        </is>
      </c>
      <c r="C105" s="359" t="inlineStr">
        <is>
          <t>278</t>
        </is>
      </c>
      <c r="D105" s="359" t="inlineStr">
        <is>
          <t>469</t>
        </is>
      </c>
      <c r="E105" s="359" t="inlineStr">
        <is>
          <t>756</t>
        </is>
      </c>
    </row>
    <row r="106" ht="22" customHeight="1">
      <c r="B106" s="339" t="inlineStr">
        <is>
          <t>Ingreso bruto pauta ($)</t>
        </is>
      </c>
      <c r="C106" s="340" t="inlineStr">
        <is>
          <t>$5,780,512</t>
        </is>
      </c>
      <c r="D106" s="340" t="inlineStr">
        <is>
          <t>$10,404,921</t>
        </is>
      </c>
      <c r="E106" s="340" t="inlineStr">
        <is>
          <t>$17,341,535</t>
        </is>
      </c>
    </row>
    <row r="107" ht="22" customHeight="1">
      <c r="B107" s="360" t="inlineStr">
        <is>
          <t>+ Ingreso bruto Club ($)</t>
        </is>
      </c>
      <c r="C107" s="361" t="inlineStr">
        <is>
          <t>$2,853,356</t>
        </is>
      </c>
      <c r="D107" s="361" t="inlineStr">
        <is>
          <t>$2,853,356</t>
        </is>
      </c>
      <c r="E107" s="361" t="inlineStr">
        <is>
          <t>$2,853,356</t>
        </is>
      </c>
    </row>
    <row r="108" ht="22" customHeight="1">
      <c r="B108" s="362" t="inlineStr">
        <is>
          <t>Ingreso BRUTO TOTAL ($)</t>
        </is>
      </c>
      <c r="C108" s="363" t="inlineStr">
        <is>
          <t>$8,633,868</t>
        </is>
      </c>
      <c r="D108" s="363" t="inlineStr">
        <is>
          <t>$13,258,277</t>
        </is>
      </c>
      <c r="E108" s="363" t="inlineStr">
        <is>
          <t>$20,194,891</t>
        </is>
      </c>
    </row>
    <row r="109" ht="22" customHeight="1">
      <c r="B109" s="360" t="inlineStr">
        <is>
          <t>Ingreso neto variable 60% ($)</t>
        </is>
      </c>
      <c r="C109" s="361" t="inlineStr">
        <is>
          <t>$5,180,321</t>
        </is>
      </c>
      <c r="D109" s="361" t="inlineStr">
        <is>
          <t>$7,954,966</t>
        </is>
      </c>
      <c r="E109" s="361" t="inlineStr">
        <is>
          <t>$12,116,935</t>
        </is>
      </c>
    </row>
    <row r="110" ht="22" customHeight="1">
      <c r="B110" s="339" t="inlineStr">
        <is>
          <t>− Costo Twilio pauta ($)</t>
        </is>
      </c>
      <c r="C110" s="340" t="inlineStr">
        <is>
          <t>−$722,222</t>
        </is>
      </c>
      <c r="D110" s="340" t="inlineStr">
        <is>
          <t>−$1,300,000</t>
        </is>
      </c>
      <c r="E110" s="340" t="inlineStr">
        <is>
          <t>−$2,166,667</t>
        </is>
      </c>
    </row>
    <row r="111" ht="22" customHeight="1">
      <c r="B111" s="360" t="inlineStr">
        <is>
          <t>− Costo LLM 5% bruto pauta ($)</t>
        </is>
      </c>
      <c r="C111" s="361" t="inlineStr">
        <is>
          <t>−$289,026</t>
        </is>
      </c>
      <c r="D111" s="361" t="inlineStr">
        <is>
          <t>−$520,246</t>
        </is>
      </c>
      <c r="E111" s="361" t="inlineStr">
        <is>
          <t>−$867,077</t>
        </is>
      </c>
    </row>
    <row r="112" ht="22" customHeight="1">
      <c r="B112" s="339" t="inlineStr">
        <is>
          <t>− Speakers ($)</t>
        </is>
      </c>
      <c r="C112" s="340" t="inlineStr">
        <is>
          <t>−$150,000</t>
        </is>
      </c>
      <c r="D112" s="340" t="inlineStr">
        <is>
          <t>−$150,000</t>
        </is>
      </c>
      <c r="E112" s="340" t="inlineStr">
        <is>
          <t>−$150,000</t>
        </is>
      </c>
    </row>
    <row r="113" ht="22" customHeight="1">
      <c r="B113" s="364" t="inlineStr">
        <is>
          <t>★  GANANCIA NETA ($)</t>
        </is>
      </c>
      <c r="C113" s="365" t="inlineStr">
        <is>
          <t>$2,519,073</t>
        </is>
      </c>
      <c r="D113" s="365" t="inlineStr">
        <is>
          <t>$3,984,720</t>
        </is>
      </c>
      <c r="E113" s="365" t="inlineStr">
        <is>
          <t>$5,933,191</t>
        </is>
      </c>
    </row>
    <row r="114" ht="22" customHeight="1">
      <c r="B114" s="339" t="inlineStr">
        <is>
          <t>ROAS BRUTO  (bruto ÷ pauta)</t>
        </is>
      </c>
      <c r="C114" s="340" t="inlineStr">
        <is>
          <t>5.76x</t>
        </is>
      </c>
      <c r="D114" s="340" t="inlineStr">
        <is>
          <t>6.63x</t>
        </is>
      </c>
      <c r="E114" s="340" t="inlineStr">
        <is>
          <t>6.73x</t>
        </is>
      </c>
    </row>
    <row r="115" ht="22" customHeight="1">
      <c r="B115" s="360" t="inlineStr">
        <is>
          <t>ROAS NETO   (neto ÷ pauta)</t>
        </is>
      </c>
      <c r="C115" s="361" t="inlineStr">
        <is>
          <t>3.45x</t>
        </is>
      </c>
      <c r="D115" s="361" t="inlineStr">
        <is>
          <t>3.98x</t>
        </is>
      </c>
      <c r="E115" s="361" t="inlineStr">
        <is>
          <t>4.04x</t>
        </is>
      </c>
    </row>
    <row r="116" ht="22" customHeight="1">
      <c r="B116" s="339" t="inlineStr">
        <is>
          <t>Margen neto</t>
        </is>
      </c>
      <c r="C116" s="340" t="inlineStr">
        <is>
          <t>29.2%</t>
        </is>
      </c>
      <c r="D116" s="340" t="inlineStr">
        <is>
          <t>30.1%</t>
        </is>
      </c>
      <c r="E116" s="340" t="inlineStr">
        <is>
          <t>29.4%</t>
        </is>
      </c>
    </row>
    <row r="117" ht="20" customHeight="1">
      <c r="B117" s="366" t="inlineStr">
        <is>
          <t>Supuestos: conv. pauta 0.430% constante · Club 39 trans. + $2.85M fijos · Twilio $13/lead pauta · LLM 5% bruto pauta · Speakers $150K fijo</t>
        </is>
      </c>
    </row>
    <row r="118" ht="8" customHeight="1"/>
    <row r="119" ht="32" customHeight="1">
      <c r="B119" s="333" t="inlineStr">
        <is>
          <t>▸  VENTAS POR DÍA — PROYECCIÓN HISTÓRICO CONSERVADOR</t>
        </is>
      </c>
    </row>
    <row r="120" ht="26" customHeight="1">
      <c r="B120" s="335" t="inlineStr">
        <is>
          <t>MÉTRICA</t>
        </is>
      </c>
      <c r="C120" s="367" t="inlineStr">
        <is>
          <t>DÍA 2 — Vie 6 Jun</t>
        </is>
      </c>
      <c r="D120" s="367" t="inlineStr">
        <is>
          <t>DÍA 3 — Sáb 7 Jun</t>
        </is>
      </c>
      <c r="E120" s="335" t="inlineStr">
        <is>
          <t>TOTAL</t>
        </is>
      </c>
    </row>
    <row r="121" ht="24" customHeight="1">
      <c r="B121" s="359" t="inlineStr">
        <is>
          <t>——  ENE 2025 (Histórico base)  ——</t>
        </is>
      </c>
    </row>
    <row r="122" ht="22" customHeight="1">
      <c r="B122" s="368" t="inlineStr">
        <is>
          <t>Blacks Simples</t>
        </is>
      </c>
      <c r="C122" s="369" t="n">
        <v>71</v>
      </c>
      <c r="D122" s="369" t="n">
        <v>48</v>
      </c>
      <c r="E122" s="369" t="n">
        <v>119</v>
      </c>
    </row>
    <row r="123" ht="22" customHeight="1">
      <c r="B123" s="339" t="inlineStr">
        <is>
          <t>Blacks Dobles (transacc.)</t>
        </is>
      </c>
      <c r="C123" s="340" t="n">
        <v>49</v>
      </c>
      <c r="D123" s="340" t="n">
        <v>32</v>
      </c>
      <c r="E123" s="340" t="n">
        <v>81</v>
      </c>
    </row>
    <row r="124" ht="22" customHeight="1">
      <c r="B124" s="370" t="inlineStr">
        <is>
          <t>Total BLACKS (accesos)</t>
        </is>
      </c>
      <c r="C124" s="371" t="n">
        <v>169</v>
      </c>
      <c r="D124" s="371" t="n">
        <v>112</v>
      </c>
      <c r="E124" s="371" t="n">
        <v>281</v>
      </c>
    </row>
    <row r="125" ht="24" customHeight="1">
      <c r="B125" s="372" t="inlineStr">
        <is>
          <t>——  PROYECCIÓN JUN 2026 (Real Pauta + Club, col. H)  ——</t>
        </is>
      </c>
    </row>
    <row r="126" ht="22" customHeight="1">
      <c r="B126" s="336" t="inlineStr">
        <is>
          <t>Blacks Simples</t>
        </is>
      </c>
      <c r="C126" s="337" t="n">
        <v>71</v>
      </c>
      <c r="D126" s="337" t="n">
        <v>48</v>
      </c>
      <c r="E126" s="337" t="n">
        <v>119</v>
      </c>
    </row>
    <row r="127" ht="22" customHeight="1">
      <c r="B127" s="339" t="inlineStr">
        <is>
          <t>Blacks Dobles (transacc.)</t>
        </is>
      </c>
      <c r="C127" s="340" t="n">
        <v>49</v>
      </c>
      <c r="D127" s="340" t="n">
        <v>32</v>
      </c>
      <c r="E127" s="340" t="n">
        <v>81</v>
      </c>
    </row>
    <row r="128" ht="22" customHeight="1">
      <c r="B128" s="373" t="inlineStr">
        <is>
          <t>Total BLACKS (accesos)</t>
        </is>
      </c>
      <c r="C128" s="372" t="n">
        <v>169</v>
      </c>
      <c r="D128" s="372" t="n">
        <v>112</v>
      </c>
      <c r="E128" s="372" t="n">
        <v>281</v>
      </c>
    </row>
    <row r="129" ht="20" customHeight="1">
      <c r="B129" s="366" t="inlineStr">
        <is>
          <t>Distribución histórica: ~60% de ventas en Día 2 (viernes) · ~40% en Día 3 (sábado). Total de transacciones col. H Dashboard = 278.</t>
        </is>
      </c>
    </row>
    <row r="130" ht="8" customHeight="1"/>
    <row r="131" ht="32" customHeight="1">
      <c r="B131" s="354" t="inlineStr">
        <is>
          <t>▸  FORECAST 30 DÍAS — RUN RATE POST-EVENTO</t>
        </is>
      </c>
    </row>
    <row r="132" ht="26" customHeight="1">
      <c r="B132" s="335" t="inlineStr">
        <is>
          <t>PERÍODO</t>
        </is>
      </c>
      <c r="C132" s="335" t="inlineStr">
        <is>
          <t>CANAL / ACCIÓN</t>
        </is>
      </c>
      <c r="D132" s="335" t="inlineStr">
        <is>
          <t>BLACKS</t>
        </is>
      </c>
      <c r="E132" s="335" t="inlineStr">
        <is>
          <t>ING. BRUTO ($)</t>
        </is>
      </c>
      <c r="F132" s="335" t="inlineStr">
        <is>
          <t>ING. NETO VAR. ($)</t>
        </is>
      </c>
      <c r="G132" s="335" t="inlineStr">
        <is>
          <t>ACUM. NETO ($)</t>
        </is>
      </c>
    </row>
    <row r="133" ht="22" customHeight="1">
      <c r="B133" s="360" t="inlineStr">
        <is>
          <t>Semana 1 — 5-7 Jun</t>
        </is>
      </c>
      <c r="C133" s="374" t="inlineStr">
        <is>
          <t>Cierre en vivo + urgencia</t>
        </is>
      </c>
      <c r="D133" s="361" t="n">
        <v>80</v>
      </c>
      <c r="E133" s="375" t="inlineStr">
        <is>
          <t>1,984,000</t>
        </is>
      </c>
      <c r="F133" s="375" t="inlineStr">
        <is>
          <t>1,190,400</t>
        </is>
      </c>
      <c r="G133" s="375" t="inlineStr">
        <is>
          <t>1,190,400</t>
        </is>
      </c>
    </row>
    <row r="134" ht="22" customHeight="1">
      <c r="B134" s="339" t="inlineStr">
        <is>
          <t>Semana 2 — 8-14 Jun</t>
        </is>
      </c>
      <c r="C134" s="341" t="inlineStr">
        <is>
          <t>Follow-up apartados (WA)</t>
        </is>
      </c>
      <c r="D134" s="340" t="n">
        <v>35</v>
      </c>
      <c r="E134" s="376" t="inlineStr">
        <is>
          <t>868,000</t>
        </is>
      </c>
      <c r="F134" s="376" t="inlineStr">
        <is>
          <t>520,800</t>
        </is>
      </c>
      <c r="G134" s="376" t="inlineStr">
        <is>
          <t>1,711,200</t>
        </is>
      </c>
    </row>
    <row r="135" ht="22" customHeight="1">
      <c r="B135" s="360" t="inlineStr">
        <is>
          <t>Semana 3 — 15-21 Jun</t>
        </is>
      </c>
      <c r="C135" s="374" t="inlineStr">
        <is>
          <t>Reactivación leads calific.</t>
        </is>
      </c>
      <c r="D135" s="361" t="n">
        <v>25</v>
      </c>
      <c r="E135" s="375" t="inlineStr">
        <is>
          <t>620,000</t>
        </is>
      </c>
      <c r="F135" s="375" t="inlineStr">
        <is>
          <t>372,000</t>
        </is>
      </c>
      <c r="G135" s="375" t="inlineStr">
        <is>
          <t>2,083,200</t>
        </is>
      </c>
    </row>
    <row r="136" ht="22" customHeight="1">
      <c r="B136" s="339" t="inlineStr">
        <is>
          <t>Semana 4 — 22-30 Jun</t>
        </is>
      </c>
      <c r="C136" s="341" t="inlineStr">
        <is>
          <t>Último cierre + casos éxito</t>
        </is>
      </c>
      <c r="D136" s="340" t="n">
        <v>12</v>
      </c>
      <c r="E136" s="376" t="inlineStr">
        <is>
          <t>297,600</t>
        </is>
      </c>
      <c r="F136" s="376" t="inlineStr">
        <is>
          <t>178,560</t>
        </is>
      </c>
      <c r="G136" s="376" t="inlineStr">
        <is>
          <t>2,261,760</t>
        </is>
      </c>
    </row>
    <row r="137" ht="26" customHeight="1">
      <c r="B137" s="351" t="inlineStr">
        <is>
          <t>★  TOTAL 30 DÍAS</t>
        </is>
      </c>
      <c r="C137" s="377" t="inlineStr">
        <is>
          <t>—</t>
        </is>
      </c>
      <c r="D137" s="377" t="n">
        <v>152</v>
      </c>
      <c r="E137" s="378" t="inlineStr">
        <is>
          <t>3,769,600</t>
        </is>
      </c>
      <c r="F137" s="378" t="inlineStr">
        <is>
          <t>2,261,760</t>
        </is>
      </c>
      <c r="G137" s="378" t="inlineStr">
        <is>
          <t>2,261,760</t>
        </is>
      </c>
    </row>
    <row r="138" ht="20" customHeight="1">
      <c r="B138" s="379" t="inlineStr">
        <is>
          <t>Neto real incluyendo $150,000 speakers: $2,111,760 MXN  |  Ticket promedio base: $24,800 MXN</t>
        </is>
      </c>
    </row>
    <row r="139" ht="20" customHeight="1">
      <c r="B139" s="380" t="inlineStr">
        <is>
          <t>SUPUESTOS: Ticket prom. $24,800 MXN · Cascada −40% · Twilio $13/lead · LLM 5% bruto pauta · Speakers $150K fijo · CPL break-even $41.53</t>
        </is>
      </c>
    </row>
  </sheetData>
  <mergeCells count="42">
    <mergeCell ref="C68:D68"/>
    <mergeCell ref="A73:E73"/>
    <mergeCell ref="A64:E64"/>
    <mergeCell ref="B17:D17"/>
    <mergeCell ref="B119:D119"/>
    <mergeCell ref="A1:E1"/>
    <mergeCell ref="A94:E94"/>
    <mergeCell ref="B29:D29"/>
    <mergeCell ref="A16:E16"/>
    <mergeCell ref="B129:E129"/>
    <mergeCell ref="A118:E118"/>
    <mergeCell ref="A75:E75"/>
    <mergeCell ref="B65:D65"/>
    <mergeCell ref="B125:E125"/>
    <mergeCell ref="B121:E121"/>
    <mergeCell ref="B139:G139"/>
    <mergeCell ref="B95:D95"/>
    <mergeCell ref="A3:E3"/>
    <mergeCell ref="B93"/>
    <mergeCell ref="B5:D5"/>
    <mergeCell ref="A57:E57"/>
    <mergeCell ref="B76:D76"/>
    <mergeCell ref="A2:E2"/>
    <mergeCell ref="B41:D41"/>
    <mergeCell ref="A42:E42"/>
    <mergeCell ref="C71:D71"/>
    <mergeCell ref="B117:E117"/>
    <mergeCell ref="C70:D70"/>
    <mergeCell ref="B138:G138"/>
    <mergeCell ref="B86:D86"/>
    <mergeCell ref="A4:E4"/>
    <mergeCell ref="C67:D67"/>
    <mergeCell ref="A72:E72"/>
    <mergeCell ref="A28:E28"/>
    <mergeCell ref="B131:D131"/>
    <mergeCell ref="B27:D27"/>
    <mergeCell ref="B58:D58"/>
    <mergeCell ref="C66:D66"/>
    <mergeCell ref="B43:D43"/>
    <mergeCell ref="B77:D77"/>
    <mergeCell ref="C69:D69"/>
    <mergeCell ref="A130:E1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0" customHeight="1">
      <c r="B2" s="33" t="inlineStr">
        <is>
          <t>LEADS &amp; CANALES DE ADQUISICIÓN — BOOTCAMP JUN 2026</t>
        </is>
      </c>
    </row>
    <row r="4" ht="28" customHeight="1">
      <c r="B4" s="4" t="inlineStr">
        <is>
          <t>CANAL</t>
        </is>
      </c>
      <c r="C4" s="5" t="inlineStr">
        <is>
          <t>LEADS ENE 2025</t>
        </is>
      </c>
      <c r="D4" s="3" t="inlineStr">
        <is>
          <t>META JUN 2026</t>
        </is>
      </c>
      <c r="E4" s="3" t="inlineStr">
        <is>
          <t>REAL JUN 2026</t>
        </is>
      </c>
      <c r="F4" s="3" t="inlineStr">
        <is>
          <t>COSTO TOTAL ($)</t>
        </is>
      </c>
      <c r="G4" s="3" t="inlineStr">
        <is>
          <t>CPL ($)</t>
        </is>
      </c>
      <c r="H4" s="3" t="inlineStr">
        <is>
          <t>% DEL TOTAL</t>
        </is>
      </c>
    </row>
    <row r="5" ht="20" customHeight="1">
      <c r="B5" s="9" t="inlineStr">
        <is>
          <t>Meta Ads (Facebook/Instagram)</t>
        </is>
      </c>
      <c r="C5" s="34" t="n"/>
      <c r="D5" s="11" t="n"/>
      <c r="E5" s="12" t="n"/>
      <c r="F5" s="20" t="n"/>
      <c r="G5" s="24" t="n"/>
      <c r="H5" s="35">
        <f>IF(SUM(E5:E13)=0,"",E5/SUM($E$5:$E$13))</f>
        <v/>
      </c>
    </row>
    <row r="6" ht="20" customHeight="1">
      <c r="B6" s="9" t="inlineStr">
        <is>
          <t>TikTok Ads</t>
        </is>
      </c>
      <c r="C6" s="10" t="n"/>
      <c r="D6" s="11" t="n"/>
      <c r="E6" s="12" t="n"/>
      <c r="F6" s="20" t="n"/>
      <c r="G6" s="24" t="n"/>
      <c r="H6" s="35">
        <f>IF(SUM(E5:E13)=0,"",E6/SUM($E$5:$E$13))</f>
        <v/>
      </c>
    </row>
    <row r="7" ht="20" customHeight="1">
      <c r="B7" s="9" t="inlineStr">
        <is>
          <t>Orgánico Instagram</t>
        </is>
      </c>
      <c r="C7" s="34" t="n"/>
      <c r="D7" s="11" t="n"/>
      <c r="E7" s="12" t="n"/>
      <c r="F7" s="20" t="n"/>
      <c r="G7" s="24" t="n"/>
      <c r="H7" s="35">
        <f>IF(SUM(E5:E13)=0,"",E7/SUM($E$5:$E$13))</f>
        <v/>
      </c>
    </row>
    <row r="8" ht="20" customHeight="1">
      <c r="B8" s="9" t="inlineStr">
        <is>
          <t>Orgánico Facebook</t>
        </is>
      </c>
      <c r="C8" s="10" t="n"/>
      <c r="D8" s="11" t="n"/>
      <c r="E8" s="12" t="n"/>
      <c r="F8" s="20" t="n"/>
      <c r="G8" s="24" t="n"/>
      <c r="H8" s="35">
        <f>IF(SUM(E5:E13)=0,"",E8/SUM($E$5:$E$13))</f>
        <v/>
      </c>
    </row>
    <row r="9" ht="20" customHeight="1">
      <c r="B9" s="9" t="inlineStr">
        <is>
          <t>Orgánico TikTok</t>
        </is>
      </c>
      <c r="C9" s="34" t="n"/>
      <c r="D9" s="11" t="n"/>
      <c r="E9" s="12" t="n"/>
      <c r="F9" s="20" t="n"/>
      <c r="G9" s="24" t="n"/>
      <c r="H9" s="35">
        <f>IF(SUM(E5:E13)=0,"",E9/SUM($E$5:$E$13))</f>
        <v/>
      </c>
    </row>
    <row r="10" ht="20" customHeight="1">
      <c r="B10" s="9" t="inlineStr">
        <is>
          <t>Email Marketing</t>
        </is>
      </c>
      <c r="C10" s="10" t="n"/>
      <c r="D10" s="11" t="n"/>
      <c r="E10" s="12" t="n"/>
      <c r="F10" s="20" t="n"/>
      <c r="G10" s="24" t="n"/>
      <c r="H10" s="35">
        <f>IF(SUM(E5:E13)=0,"",E10/SUM($E$5:$E$13))</f>
        <v/>
      </c>
    </row>
    <row r="11" ht="20" customHeight="1">
      <c r="B11" s="9" t="inlineStr">
        <is>
          <t>WhatsApp / Referidos</t>
        </is>
      </c>
      <c r="C11" s="34" t="n"/>
      <c r="D11" s="11" t="n"/>
      <c r="E11" s="12" t="n"/>
      <c r="F11" s="20" t="n"/>
      <c r="G11" s="24" t="n"/>
      <c r="H11" s="35">
        <f>IF(SUM(E5:E13)=0,"",E11/SUM($E$5:$E$13))</f>
        <v/>
      </c>
    </row>
    <row r="12" ht="20" customHeight="1">
      <c r="B12" s="9" t="inlineStr">
        <is>
          <t>YouTube / Podcast</t>
        </is>
      </c>
      <c r="C12" s="10" t="n"/>
      <c r="D12" s="11" t="n"/>
      <c r="E12" s="12" t="n"/>
      <c r="F12" s="20" t="n"/>
      <c r="G12" s="24" t="n"/>
      <c r="H12" s="35">
        <f>IF(SUM(E5:E13)=0,"",E12/SUM($E$5:$E$13))</f>
        <v/>
      </c>
    </row>
    <row r="13" ht="20" customHeight="1">
      <c r="B13" s="9" t="inlineStr">
        <is>
          <t>Otros</t>
        </is>
      </c>
      <c r="C13" s="34" t="n"/>
      <c r="D13" s="11" t="n"/>
      <c r="E13" s="12" t="n"/>
      <c r="F13" s="20" t="n"/>
      <c r="G13" s="24" t="n"/>
      <c r="H13" s="35">
        <f>IF(SUM(E5:E13)=0,"",E13/SUM($E$5:$E$13))</f>
        <v/>
      </c>
    </row>
    <row r="14" ht="24" customHeight="1">
      <c r="B14" s="3" t="inlineStr">
        <is>
          <t>TOTAL</t>
        </is>
      </c>
      <c r="C14" s="36">
        <f>SUM(C5:C13)</f>
        <v/>
      </c>
      <c r="D14" s="36">
        <f>SUM(D5:D13)</f>
        <v/>
      </c>
      <c r="E14" s="36">
        <f>SUM(E5:E13)</f>
        <v/>
      </c>
      <c r="F14" s="37">
        <f>SUM(F5:F13)</f>
        <v/>
      </c>
      <c r="G14" s="38">
        <f>SUM(G5:G13)</f>
        <v/>
      </c>
      <c r="H14" s="39" t="inlineStr">
        <is>
          <t>100%</t>
        </is>
      </c>
    </row>
    <row r="16" ht="26" customHeight="1">
      <c r="B16" s="40" t="inlineStr">
        <is>
          <t>REGISTRO ACUMULADO POR DÍA (Pre-evento)</t>
        </is>
      </c>
    </row>
    <row r="17" ht="26" customHeight="1">
      <c r="B17" s="41" t="inlineStr">
        <is>
          <t>FECHA</t>
        </is>
      </c>
      <c r="C17" s="41" t="inlineStr">
        <is>
          <t>LEADS DEL DÍA</t>
        </is>
      </c>
      <c r="D17" s="41" t="inlineStr">
        <is>
          <t>LEADS ACUMULADOS</t>
        </is>
      </c>
      <c r="E17" s="41" t="inlineStr">
        <is>
          <t>CONFIRMADOS DEL DÍA</t>
        </is>
      </c>
      <c r="F17" s="41" t="inlineStr">
        <is>
          <t>CONFIRMADOS ACUM.</t>
        </is>
      </c>
      <c r="G17" s="41" t="inlineStr">
        <is>
          <t>TASA CONFIRM. DIARIA</t>
        </is>
      </c>
      <c r="H17" s="41" t="inlineStr"/>
    </row>
    <row r="18" ht="18" customHeight="1">
      <c r="B18" s="42" t="inlineStr">
        <is>
          <t>Día 1</t>
        </is>
      </c>
      <c r="C18" s="43" t="n"/>
      <c r="D18" s="43" t="n"/>
      <c r="E18" s="43" t="n"/>
      <c r="F18" s="43" t="n"/>
      <c r="G18" s="44" t="n"/>
    </row>
    <row r="19" ht="18" customHeight="1">
      <c r="B19" s="42" t="inlineStr">
        <is>
          <t>Día 2</t>
        </is>
      </c>
      <c r="C19" s="45" t="n"/>
      <c r="D19" s="45" t="n"/>
      <c r="E19" s="45" t="n"/>
      <c r="F19" s="45" t="n"/>
      <c r="G19" s="46" t="n"/>
    </row>
    <row r="20" ht="18" customHeight="1">
      <c r="B20" s="42" t="inlineStr">
        <is>
          <t>Día 3</t>
        </is>
      </c>
      <c r="C20" s="43" t="n"/>
      <c r="D20" s="43" t="n"/>
      <c r="E20" s="43" t="n"/>
      <c r="F20" s="43" t="n"/>
      <c r="G20" s="44" t="n"/>
    </row>
    <row r="21" ht="18" customHeight="1">
      <c r="B21" s="42" t="inlineStr">
        <is>
          <t>Día 4</t>
        </is>
      </c>
      <c r="C21" s="45" t="n"/>
      <c r="D21" s="45" t="n"/>
      <c r="E21" s="45" t="n"/>
      <c r="F21" s="45" t="n"/>
      <c r="G21" s="46" t="n"/>
    </row>
    <row r="22" ht="18" customHeight="1">
      <c r="B22" s="42" t="inlineStr">
        <is>
          <t>Día 5</t>
        </is>
      </c>
      <c r="C22" s="43" t="n"/>
      <c r="D22" s="43" t="n"/>
      <c r="E22" s="43" t="n"/>
      <c r="F22" s="43" t="n"/>
      <c r="G22" s="44" t="n"/>
    </row>
    <row r="23" ht="18" customHeight="1">
      <c r="B23" s="42" t="inlineStr">
        <is>
          <t>Día 6</t>
        </is>
      </c>
      <c r="C23" s="45" t="n"/>
      <c r="D23" s="45" t="n"/>
      <c r="E23" s="45" t="n"/>
      <c r="F23" s="45" t="n"/>
      <c r="G23" s="46" t="n"/>
    </row>
    <row r="24" ht="18" customHeight="1">
      <c r="B24" s="42" t="inlineStr">
        <is>
          <t>Día 7</t>
        </is>
      </c>
      <c r="C24" s="43" t="n"/>
      <c r="D24" s="43" t="n"/>
      <c r="E24" s="43" t="n"/>
      <c r="F24" s="43" t="n"/>
      <c r="G24" s="44" t="n"/>
    </row>
    <row r="25" ht="18" customHeight="1">
      <c r="B25" s="42" t="inlineStr">
        <is>
          <t>Día 8</t>
        </is>
      </c>
      <c r="C25" s="45" t="n"/>
      <c r="D25" s="45" t="n"/>
      <c r="E25" s="45" t="n"/>
      <c r="F25" s="45" t="n"/>
      <c r="G25" s="46" t="n"/>
    </row>
    <row r="26" ht="18" customHeight="1">
      <c r="B26" s="42" t="inlineStr">
        <is>
          <t>Día 9</t>
        </is>
      </c>
      <c r="C26" s="43" t="n"/>
      <c r="D26" s="43" t="n"/>
      <c r="E26" s="43" t="n"/>
      <c r="F26" s="43" t="n"/>
      <c r="G26" s="44" t="n"/>
    </row>
    <row r="27" ht="18" customHeight="1">
      <c r="B27" s="42" t="inlineStr">
        <is>
          <t>Día 10</t>
        </is>
      </c>
      <c r="C27" s="45" t="n"/>
      <c r="D27" s="45" t="n"/>
      <c r="E27" s="45" t="n"/>
      <c r="F27" s="45" t="n"/>
      <c r="G27" s="46" t="n"/>
    </row>
    <row r="28" ht="18" customHeight="1">
      <c r="B28" s="42" t="inlineStr">
        <is>
          <t>Día 11</t>
        </is>
      </c>
      <c r="C28" s="43" t="n"/>
      <c r="D28" s="43" t="n"/>
      <c r="E28" s="43" t="n"/>
      <c r="F28" s="43" t="n"/>
      <c r="G28" s="44" t="n"/>
    </row>
    <row r="29" ht="18" customHeight="1">
      <c r="B29" s="42" t="inlineStr">
        <is>
          <t>Día 12</t>
        </is>
      </c>
      <c r="C29" s="45" t="n"/>
      <c r="D29" s="45" t="n"/>
      <c r="E29" s="45" t="n"/>
      <c r="F29" s="45" t="n"/>
      <c r="G29" s="46" t="n"/>
    </row>
    <row r="30" ht="18" customHeight="1">
      <c r="B30" s="42" t="inlineStr">
        <is>
          <t>Día 13</t>
        </is>
      </c>
      <c r="C30" s="43" t="n"/>
      <c r="D30" s="43" t="n"/>
      <c r="E30" s="43" t="n"/>
      <c r="F30" s="43" t="n"/>
      <c r="G30" s="44" t="n"/>
    </row>
    <row r="31" ht="18" customHeight="1">
      <c r="B31" s="42" t="inlineStr">
        <is>
          <t>Día 14</t>
        </is>
      </c>
      <c r="C31" s="45" t="n"/>
      <c r="D31" s="45" t="n"/>
      <c r="E31" s="45" t="n"/>
      <c r="F31" s="45" t="n"/>
      <c r="G31" s="46" t="n"/>
    </row>
    <row r="32" ht="18" customHeight="1">
      <c r="B32" s="42" t="inlineStr">
        <is>
          <t>Día 15</t>
        </is>
      </c>
      <c r="C32" s="43" t="n"/>
      <c r="D32" s="43" t="n"/>
      <c r="E32" s="43" t="n"/>
      <c r="F32" s="43" t="n"/>
      <c r="G32" s="44" t="n"/>
    </row>
    <row r="33" ht="18" customHeight="1">
      <c r="B33" s="42" t="inlineStr">
        <is>
          <t>Día 16</t>
        </is>
      </c>
      <c r="C33" s="45" t="n"/>
      <c r="D33" s="45" t="n"/>
      <c r="E33" s="45" t="n"/>
      <c r="F33" s="45" t="n"/>
      <c r="G33" s="46" t="n"/>
    </row>
    <row r="34" ht="18" customHeight="1">
      <c r="B34" s="42" t="inlineStr">
        <is>
          <t>Día 17</t>
        </is>
      </c>
      <c r="C34" s="43" t="n"/>
      <c r="D34" s="43" t="n"/>
      <c r="E34" s="43" t="n"/>
      <c r="F34" s="43" t="n"/>
      <c r="G34" s="44" t="n"/>
    </row>
    <row r="35" ht="18" customHeight="1">
      <c r="B35" s="42" t="inlineStr">
        <is>
          <t>Día 18</t>
        </is>
      </c>
      <c r="C35" s="45" t="n"/>
      <c r="D35" s="45" t="n"/>
      <c r="E35" s="45" t="n"/>
      <c r="F35" s="45" t="n"/>
      <c r="G35" s="46" t="n"/>
    </row>
    <row r="36" ht="18" customHeight="1">
      <c r="B36" s="42" t="inlineStr">
        <is>
          <t>Día 19</t>
        </is>
      </c>
      <c r="C36" s="43" t="n"/>
      <c r="D36" s="43" t="n"/>
      <c r="E36" s="43" t="n"/>
      <c r="F36" s="43" t="n"/>
      <c r="G36" s="44" t="n"/>
    </row>
    <row r="37" ht="18" customHeight="1">
      <c r="B37" s="42" t="inlineStr">
        <is>
          <t>Día 20</t>
        </is>
      </c>
      <c r="C37" s="45" t="n"/>
      <c r="D37" s="45" t="n"/>
      <c r="E37" s="45" t="n"/>
      <c r="F37" s="45" t="n"/>
      <c r="G37" s="46" t="n"/>
    </row>
    <row r="38" ht="18" customHeight="1">
      <c r="B38" s="42" t="inlineStr">
        <is>
          <t>Día 21</t>
        </is>
      </c>
      <c r="C38" s="43" t="n"/>
      <c r="D38" s="43" t="n"/>
      <c r="E38" s="43" t="n"/>
      <c r="F38" s="43" t="n"/>
      <c r="G38" s="44" t="n"/>
    </row>
    <row r="39" ht="18" customHeight="1">
      <c r="B39" s="42" t="inlineStr">
        <is>
          <t>Día 22</t>
        </is>
      </c>
      <c r="C39" s="45" t="n"/>
      <c r="D39" s="45" t="n"/>
      <c r="E39" s="45" t="n"/>
      <c r="F39" s="45" t="n"/>
      <c r="G39" s="46" t="n"/>
    </row>
    <row r="40" ht="18" customHeight="1">
      <c r="B40" s="42" t="inlineStr">
        <is>
          <t>Día 23</t>
        </is>
      </c>
      <c r="C40" s="43" t="n"/>
      <c r="D40" s="43" t="n"/>
      <c r="E40" s="43" t="n"/>
      <c r="F40" s="43" t="n"/>
      <c r="G40" s="44" t="n"/>
    </row>
    <row r="41" ht="18" customHeight="1">
      <c r="B41" s="42" t="inlineStr">
        <is>
          <t>Día 24</t>
        </is>
      </c>
      <c r="C41" s="45" t="n"/>
      <c r="D41" s="45" t="n"/>
      <c r="E41" s="45" t="n"/>
      <c r="F41" s="45" t="n"/>
      <c r="G41" s="46" t="n"/>
    </row>
    <row r="42" ht="18" customHeight="1">
      <c r="B42" s="42" t="inlineStr">
        <is>
          <t>Día 25</t>
        </is>
      </c>
      <c r="C42" s="43" t="n"/>
      <c r="D42" s="43" t="n"/>
      <c r="E42" s="43" t="n"/>
      <c r="F42" s="43" t="n"/>
      <c r="G42" s="44" t="n"/>
    </row>
    <row r="43" ht="18" customHeight="1">
      <c r="B43" s="42" t="inlineStr">
        <is>
          <t>Día 26</t>
        </is>
      </c>
      <c r="C43" s="45" t="n"/>
      <c r="D43" s="45" t="n"/>
      <c r="E43" s="45" t="n"/>
      <c r="F43" s="45" t="n"/>
      <c r="G43" s="46" t="n"/>
    </row>
    <row r="44" ht="18" customHeight="1">
      <c r="B44" s="42" t="inlineStr">
        <is>
          <t>Día 27</t>
        </is>
      </c>
      <c r="C44" s="43" t="n"/>
      <c r="D44" s="43" t="n"/>
      <c r="E44" s="43" t="n"/>
      <c r="F44" s="43" t="n"/>
      <c r="G44" s="44" t="n"/>
    </row>
    <row r="45" ht="18" customHeight="1">
      <c r="B45" s="42" t="inlineStr">
        <is>
          <t>Día 28</t>
        </is>
      </c>
      <c r="C45" s="45" t="n"/>
      <c r="D45" s="45" t="n"/>
      <c r="E45" s="45" t="n"/>
      <c r="F45" s="45" t="n"/>
      <c r="G45" s="46" t="n"/>
    </row>
  </sheetData>
  <mergeCells count="2">
    <mergeCell ref="B16:H16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  <col width="3" customWidth="1" min="9" max="9"/>
  </cols>
  <sheetData>
    <row r="1" ht="10" customHeight="1"/>
    <row r="2" ht="40" customHeight="1">
      <c r="B2" s="33" t="inlineStr">
        <is>
          <t>MÉTRICAS EVENTO EN VIVO — 5, 6 Y 7 DE JUNIO 2026</t>
        </is>
      </c>
    </row>
    <row r="4" ht="30" customHeight="1">
      <c r="B4" s="3" t="inlineStr">
        <is>
          <t>MÉTRICA</t>
        </is>
      </c>
      <c r="C4" s="47" t="inlineStr">
        <is>
          <t>DÍA 1 — Jueves 5 Jun</t>
        </is>
      </c>
      <c r="D4" s="48" t="inlineStr">
        <is>
          <t>DÍA 2 — Viernes 6 Jun</t>
        </is>
      </c>
      <c r="E4" s="49" t="inlineStr">
        <is>
          <t>DÍA 3 — Sábado 7 Jun</t>
        </is>
      </c>
      <c r="F4" s="5" t="inlineStr">
        <is>
          <t>TOTAL / PROMEDIO</t>
        </is>
      </c>
    </row>
    <row r="5" ht="20" customHeight="1">
      <c r="B5" s="9" t="inlineStr">
        <is>
          <t>Visualizaciones totales</t>
        </is>
      </c>
      <c r="C5" s="10" t="n">
        <v>45000</v>
      </c>
      <c r="D5" s="10" t="n"/>
      <c r="E5" s="10" t="n"/>
      <c r="F5" s="50">
        <f>SUM(C5:E5)</f>
        <v/>
      </c>
    </row>
    <row r="6" ht="20" customHeight="1">
      <c r="B6" s="9" t="inlineStr">
        <is>
          <t>Pico máximo de audiencia</t>
        </is>
      </c>
      <c r="C6" s="10" t="n">
        <v>9099</v>
      </c>
      <c r="D6" s="10" t="n"/>
      <c r="E6" s="10" t="n"/>
      <c r="F6" s="50">
        <f>SUM(C6:E6)</f>
        <v/>
      </c>
    </row>
    <row r="7" ht="20" customHeight="1">
      <c r="B7" s="9" t="inlineStr">
        <is>
          <t>Visualizaciones únicas estimadas</t>
        </is>
      </c>
      <c r="C7" s="10" t="n"/>
      <c r="D7" s="10" t="n"/>
      <c r="E7" s="10" t="n"/>
      <c r="F7" s="50">
        <f>SUM(C7:E7)</f>
        <v/>
      </c>
    </row>
    <row r="8" ht="20" customHeight="1">
      <c r="B8" s="9" t="inlineStr">
        <is>
          <t>Tasa de asistencia (viz/confirmados)</t>
        </is>
      </c>
      <c r="C8" s="14" t="n"/>
      <c r="D8" s="14" t="n"/>
      <c r="E8" s="14" t="n"/>
      <c r="F8" s="51">
        <f>AVERAGE(C8:E8)</f>
        <v/>
      </c>
    </row>
    <row r="9" ht="20" customHeight="1">
      <c r="B9" s="9" t="inlineStr">
        <is>
          <t>Retención vs día anterior</t>
        </is>
      </c>
      <c r="C9" s="14" t="n"/>
      <c r="D9" s="14" t="n"/>
      <c r="E9" s="14" t="n"/>
      <c r="F9" s="51">
        <f>AVERAGE(C9:E9)</f>
        <v/>
      </c>
    </row>
    <row r="10" ht="20" customHeight="1">
      <c r="B10" s="9" t="inlineStr">
        <is>
          <t>Interesados capturados</t>
        </is>
      </c>
      <c r="C10" s="10" t="n">
        <v>239</v>
      </c>
      <c r="D10" s="10" t="n">
        <v>230</v>
      </c>
      <c r="E10" s="10" t="n"/>
      <c r="F10" s="50">
        <f>SUM(C10:E10)</f>
        <v/>
      </c>
    </row>
    <row r="11" ht="20" customHeight="1">
      <c r="B11" s="9" t="inlineStr">
        <is>
          <t>Preguntas / interacciones</t>
        </is>
      </c>
      <c r="C11" s="10" t="n"/>
      <c r="D11" s="10" t="n"/>
      <c r="E11" s="10" t="n"/>
      <c r="F11" s="50">
        <f>SUM(C11:E11)</f>
        <v/>
      </c>
    </row>
    <row r="12" ht="20" customHeight="1">
      <c r="B12" s="9" t="inlineStr">
        <is>
          <t>Comentarios en vivo</t>
        </is>
      </c>
      <c r="C12" s="10" t="n"/>
      <c r="D12" s="10" t="n"/>
      <c r="E12" s="10" t="n"/>
      <c r="F12" s="50">
        <f>SUM(C12:E12)</f>
        <v/>
      </c>
    </row>
    <row r="14" ht="26" customHeight="1">
      <c r="B14" s="52" t="inlineStr">
        <is>
          <t>MOMENTO DE LA OFERTA — SYNERGY BLACK ACCESS</t>
        </is>
      </c>
    </row>
    <row r="15" ht="24" customHeight="1">
      <c r="B15" s="41" t="inlineStr">
        <is>
          <t>MOMENTO</t>
        </is>
      </c>
      <c r="C15" s="41" t="inlineStr">
        <is>
          <t>DÍA</t>
        </is>
      </c>
      <c r="D15" s="41" t="inlineStr">
        <is>
          <t>HORA</t>
        </is>
      </c>
      <c r="E15" s="41" t="inlineStr">
        <is>
          <t>TIPO OFERTA</t>
        </is>
      </c>
      <c r="F15" s="41" t="inlineStr">
        <is>
          <t>BLACKS VENDIDOS</t>
        </is>
      </c>
      <c r="G15" s="41" t="inlineStr">
        <is>
          <t>INGRESO ($)</t>
        </is>
      </c>
    </row>
    <row r="16" ht="20" customHeight="1">
      <c r="B16" s="9" t="inlineStr">
        <is>
          <t>Apertura early bird</t>
        </is>
      </c>
      <c r="C16" s="53" t="inlineStr">
        <is>
          <t>Día 1</t>
        </is>
      </c>
      <c r="D16" s="53" t="inlineStr">
        <is>
          <t>09:00</t>
        </is>
      </c>
      <c r="E16" s="53" t="inlineStr">
        <is>
          <t>Black Simple / Doble</t>
        </is>
      </c>
      <c r="F16" s="12" t="n"/>
      <c r="G16" s="20" t="n"/>
    </row>
    <row r="17" ht="20" customHeight="1">
      <c r="B17" s="9" t="inlineStr">
        <is>
          <t>Cierre Día 1</t>
        </is>
      </c>
      <c r="C17" s="54" t="inlineStr">
        <is>
          <t>Día 1</t>
        </is>
      </c>
      <c r="D17" s="54" t="inlineStr">
        <is>
          <t>19:00</t>
        </is>
      </c>
      <c r="E17" s="54" t="inlineStr">
        <is>
          <t>Black Simple / Doble</t>
        </is>
      </c>
      <c r="F17" s="12" t="n"/>
      <c r="G17" s="20" t="n"/>
    </row>
    <row r="18" ht="20" customHeight="1">
      <c r="B18" s="9" t="inlineStr">
        <is>
          <t>Apertura Día 2</t>
        </is>
      </c>
      <c r="C18" s="53" t="inlineStr">
        <is>
          <t>Día 2</t>
        </is>
      </c>
      <c r="D18" s="53" t="inlineStr">
        <is>
          <t>09:00</t>
        </is>
      </c>
      <c r="E18" s="53" t="inlineStr">
        <is>
          <t>Black Simple / Doble</t>
        </is>
      </c>
      <c r="F18" s="12" t="n"/>
      <c r="G18" s="20" t="n"/>
    </row>
    <row r="19" ht="20" customHeight="1">
      <c r="B19" s="9" t="inlineStr">
        <is>
          <t>Cierre Día 2 + urgencia</t>
        </is>
      </c>
      <c r="C19" s="54" t="inlineStr">
        <is>
          <t>Día 2</t>
        </is>
      </c>
      <c r="D19" s="54" t="inlineStr">
        <is>
          <t>19:00</t>
        </is>
      </c>
      <c r="E19" s="54" t="inlineStr">
        <is>
          <t>Black Simple / Doble</t>
        </is>
      </c>
      <c r="F19" s="12" t="n"/>
      <c r="G19" s="20" t="n"/>
    </row>
    <row r="20" ht="20" customHeight="1">
      <c r="B20" s="9" t="inlineStr">
        <is>
          <t>Última llamada Día 3</t>
        </is>
      </c>
      <c r="C20" s="53" t="inlineStr">
        <is>
          <t>Día 3</t>
        </is>
      </c>
      <c r="D20" s="53" t="inlineStr">
        <is>
          <t>12:00</t>
        </is>
      </c>
      <c r="E20" s="53" t="inlineStr">
        <is>
          <t>Black Simple / Doble</t>
        </is>
      </c>
      <c r="F20" s="12" t="n"/>
      <c r="G20" s="20" t="n"/>
    </row>
    <row r="21" ht="20" customHeight="1">
      <c r="B21" s="9" t="inlineStr">
        <is>
          <t>Cierre final</t>
        </is>
      </c>
      <c r="C21" s="54" t="inlineStr">
        <is>
          <t>Día 3</t>
        </is>
      </c>
      <c r="D21" s="54" t="inlineStr">
        <is>
          <t>19:00</t>
        </is>
      </c>
      <c r="E21" s="54" t="inlineStr">
        <is>
          <t>Black Simple / Doble</t>
        </is>
      </c>
      <c r="F21" s="12" t="n"/>
      <c r="G21" s="20" t="n"/>
    </row>
  </sheetData>
  <mergeCells count="2">
    <mergeCell ref="B2:G2"/>
    <mergeCell ref="B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</cols>
  <sheetData>
    <row r="1" ht="10" customHeight="1"/>
    <row r="2" ht="40" customHeight="1">
      <c r="B2" s="33" t="inlineStr">
        <is>
          <t>VENTAS SYNERGY BLACK ACCESS — TRACKER COMPLETO</t>
        </is>
      </c>
    </row>
    <row r="4" ht="20" customHeight="1">
      <c r="B4" s="7" t="inlineStr">
        <is>
          <t>💰 PRECIOS DE REFERENCIA</t>
        </is>
      </c>
    </row>
    <row r="5" ht="20" customHeight="1">
      <c r="B5" s="55" t="inlineStr">
        <is>
          <t>Black Simple</t>
        </is>
      </c>
      <c r="C5" s="18" t="n">
        <v>36997</v>
      </c>
      <c r="D5" s="53" t="inlineStr">
        <is>
          <t>1 acceso</t>
        </is>
      </c>
    </row>
    <row r="6" ht="20" customHeight="1">
      <c r="B6" s="55" t="inlineStr">
        <is>
          <t>Black Doble</t>
        </is>
      </c>
      <c r="C6" s="18" t="n">
        <v>55497</v>
      </c>
      <c r="D6" s="53" t="inlineStr">
        <is>
          <t>2 accesos — AHORRO $18,497</t>
        </is>
      </c>
    </row>
    <row r="8" ht="36" customHeight="1">
      <c r="B8" s="56" t="inlineStr">
        <is>
          <t>TIPO</t>
        </is>
      </c>
      <c r="C8" s="56" t="inlineStr">
        <is>
          <t>ENE 2025
Completos</t>
        </is>
      </c>
      <c r="D8" s="56" t="inlineStr">
        <is>
          <t>ENE 2025
Apartados</t>
        </is>
      </c>
      <c r="E8" s="56" t="inlineStr">
        <is>
          <t>ENE 2025
Total</t>
        </is>
      </c>
      <c r="F8" s="57" t="inlineStr">
        <is>
          <t>META JUN 2026</t>
        </is>
      </c>
      <c r="G8" s="57" t="inlineStr">
        <is>
          <t>REAL JUN 2026
Completos</t>
        </is>
      </c>
      <c r="H8" s="57" t="inlineStr">
        <is>
          <t>REAL JUN 2026
Apartados</t>
        </is>
      </c>
      <c r="I8" s="57" t="inlineStr">
        <is>
          <t>REAL JUN 2026
Total</t>
        </is>
      </c>
    </row>
    <row r="9" ht="22" customHeight="1">
      <c r="B9" s="58" t="inlineStr">
        <is>
          <t>Black Simple</t>
        </is>
      </c>
      <c r="C9" s="45" t="n">
        <v>78</v>
      </c>
      <c r="D9" s="45" t="n">
        <v>8</v>
      </c>
      <c r="E9" s="45" t="n">
        <v>86</v>
      </c>
      <c r="F9" s="45" t="n">
        <v>100</v>
      </c>
      <c r="G9" s="13" t="n"/>
      <c r="H9" s="13" t="n"/>
    </row>
    <row r="10" ht="22" customHeight="1">
      <c r="B10" s="58" t="inlineStr">
        <is>
          <t>Black Doble (2 accesos)</t>
        </is>
      </c>
      <c r="C10" s="45" t="n">
        <v>110</v>
      </c>
      <c r="D10" s="45" t="n">
        <v>14</v>
      </c>
      <c r="E10" s="45" t="n">
        <v>124</v>
      </c>
      <c r="F10" s="45" t="n">
        <v>130</v>
      </c>
      <c r="G10" s="13" t="n"/>
      <c r="H10" s="13" t="n"/>
    </row>
    <row r="11" ht="22" customHeight="1">
      <c r="B11" s="59" t="inlineStr">
        <is>
          <t>TOTAL TRANSACCIONES</t>
        </is>
      </c>
      <c r="C11" s="36" t="n">
        <v>188</v>
      </c>
      <c r="D11" s="36" t="n">
        <v>22</v>
      </c>
      <c r="E11" s="36" t="n">
        <v>210</v>
      </c>
      <c r="F11" s="36" t="n">
        <v>230</v>
      </c>
      <c r="G11" s="36" t="n"/>
      <c r="H11" s="36" t="n"/>
    </row>
    <row r="12" ht="22" customHeight="1">
      <c r="B12" s="59" t="inlineStr">
        <is>
          <t>TOTAL ACCESOS (doble×2)</t>
        </is>
      </c>
      <c r="C12" s="36" t="n">
        <v>298</v>
      </c>
      <c r="D12" s="36" t="n"/>
      <c r="E12" s="36" t="n">
        <v>298</v>
      </c>
      <c r="F12" s="36" t="n">
        <v>380</v>
      </c>
      <c r="G12" s="36" t="n"/>
      <c r="H12" s="36" t="n"/>
    </row>
    <row r="14" ht="26" customHeight="1">
      <c r="B14" s="52" t="inlineStr">
        <is>
          <t>INGRESOS</t>
        </is>
      </c>
    </row>
    <row r="15" ht="24" customHeight="1">
      <c r="B15" s="41" t="inlineStr">
        <is>
          <t>CONCEPTO</t>
        </is>
      </c>
      <c r="C15" s="41" t="inlineStr">
        <is>
          <t>ENE 2025</t>
        </is>
      </c>
      <c r="D15" s="41" t="inlineStr">
        <is>
          <t>META JUN 2026</t>
        </is>
      </c>
      <c r="E15" s="41" t="inlineStr">
        <is>
          <t>REAL JUN 2026</t>
        </is>
      </c>
      <c r="F15" s="41" t="inlineStr">
        <is>
          <t>DIFERENCIA VS META</t>
        </is>
      </c>
    </row>
    <row r="16" ht="20" customHeight="1">
      <c r="B16" s="58" t="inlineStr">
        <is>
          <t>Ingreso neto completos</t>
        </is>
      </c>
      <c r="C16" s="22" t="n">
        <v>4800929.02</v>
      </c>
      <c r="D16" s="23" t="n">
        <v>6000000</v>
      </c>
      <c r="E16" s="24" t="n"/>
      <c r="F16" s="25">
        <f>IF(E16="","—",E16-D16)</f>
        <v/>
      </c>
    </row>
    <row r="17" ht="20" customHeight="1">
      <c r="B17" s="58" t="inlineStr">
        <is>
          <t>Ingreso neto apartados</t>
        </is>
      </c>
      <c r="C17" s="22" t="n">
        <v>131677.73</v>
      </c>
      <c r="D17" s="23" t="n">
        <v>200000</v>
      </c>
      <c r="E17" s="24" t="n"/>
      <c r="F17" s="25">
        <f>IF(E17="","—",E17-D17)</f>
        <v/>
      </c>
    </row>
    <row r="18" ht="20" customHeight="1">
      <c r="B18" s="60" t="inlineStr">
        <is>
          <t>Total ingreso neto</t>
        </is>
      </c>
      <c r="C18" s="61" t="n">
        <v>4932606.75</v>
      </c>
      <c r="D18" s="23" t="n">
        <v>6200000</v>
      </c>
      <c r="E18" s="24" t="n"/>
      <c r="F18" s="25">
        <f>IF(E18="","—",E18-D18)</f>
        <v/>
      </c>
    </row>
    <row r="19" ht="20" customHeight="1">
      <c r="B19" s="58" t="inlineStr">
        <is>
          <t>Por cobrar (apartados pendientes)</t>
        </is>
      </c>
      <c r="C19" s="22" t="n">
        <v>735302.26</v>
      </c>
      <c r="D19" s="23" t="n"/>
      <c r="E19" s="24" t="n"/>
      <c r="F19" s="25">
        <f>IF(E19="","—",E19-D19)</f>
        <v/>
      </c>
    </row>
    <row r="20" ht="20" customHeight="1">
      <c r="B20" s="60" t="inlineStr">
        <is>
          <t>Potencial recuperación (80%)</t>
        </is>
      </c>
      <c r="C20" s="61" t="n">
        <v>919127.8199999999</v>
      </c>
      <c r="D20" s="23" t="n"/>
      <c r="E20" s="24" t="n"/>
      <c r="F20" s="25">
        <f>IF(E20="","—",E20-D20)</f>
        <v/>
      </c>
    </row>
    <row r="21" ht="20" customHeight="1">
      <c r="B21" s="60" t="inlineStr">
        <is>
          <t>Ingreso proyectado total</t>
        </is>
      </c>
      <c r="C21" s="61" t="n">
        <v>5667908.57</v>
      </c>
      <c r="D21" s="23" t="n"/>
      <c r="E21" s="24" t="n"/>
      <c r="F21" s="25">
        <f>IF(E21="","—",E21-D21)</f>
        <v/>
      </c>
    </row>
    <row r="23" ht="26" customHeight="1">
      <c r="B23" s="40" t="inlineStr">
        <is>
          <t>KPIs DE CONVERSIÓN</t>
        </is>
      </c>
    </row>
    <row r="24" ht="20" customHeight="1">
      <c r="B24" s="9" t="inlineStr">
        <is>
          <t>Tasa conversión Blacks / Leads</t>
        </is>
      </c>
      <c r="C24" s="53" t="inlineStr">
        <is>
          <t>0.36%</t>
        </is>
      </c>
      <c r="D24" s="62" t="inlineStr">
        <is>
          <t>0.36%</t>
        </is>
      </c>
      <c r="E24" s="63" t="n"/>
      <c r="F24" s="63" t="n"/>
    </row>
    <row r="25" ht="20" customHeight="1">
      <c r="B25" s="9" t="inlineStr">
        <is>
          <t>Tasa conversión Blacks / Confirmados</t>
        </is>
      </c>
      <c r="C25" s="53" t="inlineStr">
        <is>
          <t>0.90%</t>
        </is>
      </c>
      <c r="D25" s="62" t="inlineStr">
        <is>
          <t>0.89%</t>
        </is>
      </c>
      <c r="E25" s="63" t="n"/>
      <c r="F25" s="63" t="n"/>
    </row>
    <row r="26" ht="20" customHeight="1">
      <c r="B26" s="9" t="inlineStr">
        <is>
          <t>Tasa conversión Blacks / Asistentes</t>
        </is>
      </c>
      <c r="C26" s="53" t="inlineStr">
        <is>
          <t>0.47%</t>
        </is>
      </c>
      <c r="D26" s="62" t="inlineStr">
        <is>
          <t>0.45%</t>
        </is>
      </c>
      <c r="E26" s="63" t="n"/>
      <c r="F26" s="63" t="n"/>
    </row>
    <row r="27" ht="20" customHeight="1">
      <c r="B27" s="9" t="inlineStr">
        <is>
          <t>Ticket promedio por transacción</t>
        </is>
      </c>
      <c r="C27" s="53" t="inlineStr">
        <is>
          <t>$23,489</t>
        </is>
      </c>
      <c r="D27" s="62" t="inlineStr">
        <is>
          <t>$24,800</t>
        </is>
      </c>
      <c r="E27" s="63" t="n"/>
      <c r="F27" s="63" t="n"/>
    </row>
    <row r="28" ht="20" customHeight="1">
      <c r="B28" s="9" t="inlineStr">
        <is>
          <t>Costo por Black vendido (MXN)</t>
        </is>
      </c>
      <c r="C28" s="53" t="inlineStr">
        <is>
          <t>—</t>
        </is>
      </c>
      <c r="D28" s="62" t="inlineStr">
        <is>
          <t>—</t>
        </is>
      </c>
      <c r="E28" s="63" t="n"/>
      <c r="F28" s="63" t="n"/>
    </row>
    <row r="29" ht="20" customHeight="1">
      <c r="B29" s="9" t="inlineStr">
        <is>
          <t>ROI de la campaña</t>
        </is>
      </c>
      <c r="C29" s="53" t="inlineStr">
        <is>
          <t>—</t>
        </is>
      </c>
      <c r="D29" s="62" t="inlineStr">
        <is>
          <t>—</t>
        </is>
      </c>
      <c r="E29" s="63" t="n"/>
      <c r="F29" s="63" t="n"/>
    </row>
  </sheetData>
  <mergeCells count="4">
    <mergeCell ref="B23:I23"/>
    <mergeCell ref="B14:I14"/>
    <mergeCell ref="B2:I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0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22" customWidth="1" min="10" max="10"/>
    <col width="3" customWidth="1" min="11" max="11"/>
  </cols>
  <sheetData>
    <row r="1" ht="10" customHeight="1"/>
    <row r="2" ht="40" customHeight="1">
      <c r="B2" s="33" t="inlineStr">
        <is>
          <t>SEGUIMIENTO DE PROSPECTOS — SYNERGY BLACK ACCESS</t>
        </is>
      </c>
    </row>
    <row r="3" ht="20" customHeight="1">
      <c r="B3" s="64" t="inlineStr">
        <is>
          <t>Bootcamp 5, 6 y 7 de Junio 2026</t>
        </is>
      </c>
    </row>
    <row r="4" ht="28" customHeight="1">
      <c r="B4" s="65" t="inlineStr">
        <is>
          <t>#</t>
        </is>
      </c>
      <c r="C4" s="65" t="inlineStr">
        <is>
          <t>NOMBRE</t>
        </is>
      </c>
      <c r="D4" s="65" t="inlineStr">
        <is>
          <t>TELÉFONO / WA</t>
        </is>
      </c>
      <c r="E4" s="65" t="inlineStr">
        <is>
          <t>CANAL ORIGEN</t>
        </is>
      </c>
      <c r="F4" s="65" t="inlineStr">
        <is>
          <t>DÍA INTERÉS</t>
        </is>
      </c>
      <c r="G4" s="65" t="inlineStr">
        <is>
          <t>TIPO (S/D)</t>
        </is>
      </c>
      <c r="H4" s="65" t="inlineStr">
        <is>
          <t>ESTADO</t>
        </is>
      </c>
      <c r="I4" s="65" t="inlineStr">
        <is>
          <t>FECHA SEGUIM.</t>
        </is>
      </c>
      <c r="J4" s="65" t="inlineStr">
        <is>
          <t>MONTO ($)</t>
        </is>
      </c>
      <c r="K4" s="65" t="inlineStr">
        <is>
          <t>NOTAS</t>
        </is>
      </c>
    </row>
    <row r="5" ht="18" customHeight="1">
      <c r="B5" s="42" t="n">
        <v>1</v>
      </c>
      <c r="C5" s="66" t="n"/>
      <c r="D5" s="66" t="n"/>
      <c r="E5" s="66" t="n"/>
      <c r="F5" s="66" t="n"/>
      <c r="G5" s="66" t="n"/>
      <c r="H5" s="67" t="n"/>
      <c r="I5" s="68" t="n"/>
      <c r="J5" s="66" t="n"/>
      <c r="K5" s="66" t="n"/>
    </row>
    <row r="6" ht="18" customHeight="1">
      <c r="B6" s="42" t="n">
        <v>2</v>
      </c>
      <c r="C6" s="69" t="n"/>
      <c r="D6" s="69" t="n"/>
      <c r="E6" s="69" t="n"/>
      <c r="F6" s="69" t="n"/>
      <c r="G6" s="69" t="n"/>
      <c r="H6" s="70" t="n"/>
      <c r="I6" s="71" t="n"/>
      <c r="J6" s="69" t="n"/>
      <c r="K6" s="69" t="n"/>
    </row>
    <row r="7" ht="18" customHeight="1">
      <c r="B7" s="42" t="n">
        <v>3</v>
      </c>
      <c r="C7" s="66" t="n"/>
      <c r="D7" s="66" t="n"/>
      <c r="E7" s="66" t="n"/>
      <c r="F7" s="66" t="n"/>
      <c r="G7" s="66" t="n"/>
      <c r="H7" s="67" t="n"/>
      <c r="I7" s="68" t="n"/>
      <c r="J7" s="66" t="n"/>
      <c r="K7" s="66" t="n"/>
    </row>
    <row r="8" ht="18" customHeight="1">
      <c r="B8" s="42" t="n">
        <v>4</v>
      </c>
      <c r="C8" s="69" t="n"/>
      <c r="D8" s="69" t="n"/>
      <c r="E8" s="69" t="n"/>
      <c r="F8" s="69" t="n"/>
      <c r="G8" s="69" t="n"/>
      <c r="H8" s="70" t="n"/>
      <c r="I8" s="71" t="n"/>
      <c r="J8" s="69" t="n"/>
      <c r="K8" s="69" t="n"/>
    </row>
    <row r="9" ht="18" customHeight="1">
      <c r="B9" s="42" t="n">
        <v>5</v>
      </c>
      <c r="C9" s="66" t="n"/>
      <c r="D9" s="66" t="n"/>
      <c r="E9" s="66" t="n"/>
      <c r="F9" s="66" t="n"/>
      <c r="G9" s="66" t="n"/>
      <c r="H9" s="67" t="n"/>
      <c r="I9" s="68" t="n"/>
      <c r="J9" s="66" t="n"/>
      <c r="K9" s="66" t="n"/>
    </row>
    <row r="10" ht="18" customHeight="1">
      <c r="B10" s="42" t="n">
        <v>6</v>
      </c>
      <c r="C10" s="69" t="n"/>
      <c r="D10" s="69" t="n"/>
      <c r="E10" s="69" t="n"/>
      <c r="F10" s="69" t="n"/>
      <c r="G10" s="69" t="n"/>
      <c r="H10" s="70" t="n"/>
      <c r="I10" s="71" t="n"/>
      <c r="J10" s="69" t="n"/>
      <c r="K10" s="69" t="n"/>
    </row>
    <row r="11" ht="18" customHeight="1">
      <c r="B11" s="42" t="n">
        <v>7</v>
      </c>
      <c r="C11" s="66" t="n"/>
      <c r="D11" s="66" t="n"/>
      <c r="E11" s="66" t="n"/>
      <c r="F11" s="66" t="n"/>
      <c r="G11" s="66" t="n"/>
      <c r="H11" s="67" t="n"/>
      <c r="I11" s="68" t="n"/>
      <c r="J11" s="66" t="n"/>
      <c r="K11" s="66" t="n"/>
    </row>
    <row r="12" ht="18" customHeight="1">
      <c r="B12" s="42" t="n">
        <v>8</v>
      </c>
      <c r="C12" s="69" t="n"/>
      <c r="D12" s="69" t="n"/>
      <c r="E12" s="69" t="n"/>
      <c r="F12" s="69" t="n"/>
      <c r="G12" s="69" t="n"/>
      <c r="H12" s="70" t="n"/>
      <c r="I12" s="71" t="n"/>
      <c r="J12" s="69" t="n"/>
      <c r="K12" s="69" t="n"/>
    </row>
    <row r="13" ht="18" customHeight="1">
      <c r="B13" s="42" t="n">
        <v>9</v>
      </c>
      <c r="C13" s="66" t="n"/>
      <c r="D13" s="66" t="n"/>
      <c r="E13" s="66" t="n"/>
      <c r="F13" s="66" t="n"/>
      <c r="G13" s="66" t="n"/>
      <c r="H13" s="67" t="n"/>
      <c r="I13" s="68" t="n"/>
      <c r="J13" s="66" t="n"/>
      <c r="K13" s="66" t="n"/>
    </row>
    <row r="14" ht="18" customHeight="1">
      <c r="B14" s="42" t="n">
        <v>10</v>
      </c>
      <c r="C14" s="69" t="n"/>
      <c r="D14" s="69" t="n"/>
      <c r="E14" s="69" t="n"/>
      <c r="F14" s="69" t="n"/>
      <c r="G14" s="69" t="n"/>
      <c r="H14" s="70" t="n"/>
      <c r="I14" s="71" t="n"/>
      <c r="J14" s="69" t="n"/>
      <c r="K14" s="69" t="n"/>
    </row>
    <row r="15" ht="18" customHeight="1">
      <c r="B15" s="42" t="n">
        <v>11</v>
      </c>
      <c r="C15" s="66" t="n"/>
      <c r="D15" s="66" t="n"/>
      <c r="E15" s="66" t="n"/>
      <c r="F15" s="66" t="n"/>
      <c r="G15" s="66" t="n"/>
      <c r="H15" s="67" t="n"/>
      <c r="I15" s="68" t="n"/>
      <c r="J15" s="66" t="n"/>
      <c r="K15" s="66" t="n"/>
    </row>
    <row r="16" ht="18" customHeight="1">
      <c r="B16" s="42" t="n">
        <v>12</v>
      </c>
      <c r="C16" s="69" t="n"/>
      <c r="D16" s="69" t="n"/>
      <c r="E16" s="69" t="n"/>
      <c r="F16" s="69" t="n"/>
      <c r="G16" s="69" t="n"/>
      <c r="H16" s="70" t="n"/>
      <c r="I16" s="71" t="n"/>
      <c r="J16" s="69" t="n"/>
      <c r="K16" s="69" t="n"/>
    </row>
    <row r="17" ht="18" customHeight="1">
      <c r="B17" s="42" t="n">
        <v>13</v>
      </c>
      <c r="C17" s="66" t="n"/>
      <c r="D17" s="66" t="n"/>
      <c r="E17" s="66" t="n"/>
      <c r="F17" s="66" t="n"/>
      <c r="G17" s="66" t="n"/>
      <c r="H17" s="67" t="n"/>
      <c r="I17" s="68" t="n"/>
      <c r="J17" s="66" t="n"/>
      <c r="K17" s="66" t="n"/>
    </row>
    <row r="18" ht="18" customHeight="1">
      <c r="B18" s="42" t="n">
        <v>14</v>
      </c>
      <c r="C18" s="69" t="n"/>
      <c r="D18" s="69" t="n"/>
      <c r="E18" s="69" t="n"/>
      <c r="F18" s="69" t="n"/>
      <c r="G18" s="69" t="n"/>
      <c r="H18" s="70" t="n"/>
      <c r="I18" s="71" t="n"/>
      <c r="J18" s="69" t="n"/>
      <c r="K18" s="69" t="n"/>
    </row>
    <row r="19" ht="18" customHeight="1">
      <c r="B19" s="42" t="n">
        <v>15</v>
      </c>
      <c r="C19" s="66" t="n"/>
      <c r="D19" s="66" t="n"/>
      <c r="E19" s="66" t="n"/>
      <c r="F19" s="66" t="n"/>
      <c r="G19" s="66" t="n"/>
      <c r="H19" s="67" t="n"/>
      <c r="I19" s="68" t="n"/>
      <c r="J19" s="66" t="n"/>
      <c r="K19" s="66" t="n"/>
    </row>
    <row r="20" ht="18" customHeight="1">
      <c r="B20" s="42" t="n">
        <v>16</v>
      </c>
      <c r="C20" s="69" t="n"/>
      <c r="D20" s="69" t="n"/>
      <c r="E20" s="69" t="n"/>
      <c r="F20" s="69" t="n"/>
      <c r="G20" s="69" t="n"/>
      <c r="H20" s="70" t="n"/>
      <c r="I20" s="71" t="n"/>
      <c r="J20" s="69" t="n"/>
      <c r="K20" s="69" t="n"/>
    </row>
    <row r="21" ht="18" customHeight="1">
      <c r="B21" s="42" t="n">
        <v>17</v>
      </c>
      <c r="C21" s="66" t="n"/>
      <c r="D21" s="66" t="n"/>
      <c r="E21" s="66" t="n"/>
      <c r="F21" s="66" t="n"/>
      <c r="G21" s="66" t="n"/>
      <c r="H21" s="67" t="n"/>
      <c r="I21" s="68" t="n"/>
      <c r="J21" s="66" t="n"/>
      <c r="K21" s="66" t="n"/>
    </row>
    <row r="22" ht="18" customHeight="1">
      <c r="B22" s="42" t="n">
        <v>18</v>
      </c>
      <c r="C22" s="69" t="n"/>
      <c r="D22" s="69" t="n"/>
      <c r="E22" s="69" t="n"/>
      <c r="F22" s="69" t="n"/>
      <c r="G22" s="69" t="n"/>
      <c r="H22" s="70" t="n"/>
      <c r="I22" s="71" t="n"/>
      <c r="J22" s="69" t="n"/>
      <c r="K22" s="69" t="n"/>
    </row>
    <row r="23" ht="18" customHeight="1">
      <c r="B23" s="42" t="n">
        <v>19</v>
      </c>
      <c r="C23" s="66" t="n"/>
      <c r="D23" s="66" t="n"/>
      <c r="E23" s="66" t="n"/>
      <c r="F23" s="66" t="n"/>
      <c r="G23" s="66" t="n"/>
      <c r="H23" s="67" t="n"/>
      <c r="I23" s="68" t="n"/>
      <c r="J23" s="66" t="n"/>
      <c r="K23" s="66" t="n"/>
    </row>
    <row r="24" ht="18" customHeight="1">
      <c r="B24" s="42" t="n">
        <v>20</v>
      </c>
      <c r="C24" s="69" t="n"/>
      <c r="D24" s="69" t="n"/>
      <c r="E24" s="69" t="n"/>
      <c r="F24" s="69" t="n"/>
      <c r="G24" s="69" t="n"/>
      <c r="H24" s="70" t="n"/>
      <c r="I24" s="71" t="n"/>
      <c r="J24" s="69" t="n"/>
      <c r="K24" s="69" t="n"/>
    </row>
    <row r="25" ht="18" customHeight="1">
      <c r="B25" s="42" t="n">
        <v>21</v>
      </c>
      <c r="C25" s="66" t="n"/>
      <c r="D25" s="66" t="n"/>
      <c r="E25" s="66" t="n"/>
      <c r="F25" s="66" t="n"/>
      <c r="G25" s="66" t="n"/>
      <c r="H25" s="67" t="n"/>
      <c r="I25" s="68" t="n"/>
      <c r="J25" s="66" t="n"/>
      <c r="K25" s="66" t="n"/>
    </row>
    <row r="26" ht="18" customHeight="1">
      <c r="B26" s="42" t="n">
        <v>22</v>
      </c>
      <c r="C26" s="69" t="n"/>
      <c r="D26" s="69" t="n"/>
      <c r="E26" s="69" t="n"/>
      <c r="F26" s="69" t="n"/>
      <c r="G26" s="69" t="n"/>
      <c r="H26" s="70" t="n"/>
      <c r="I26" s="71" t="n"/>
      <c r="J26" s="69" t="n"/>
      <c r="K26" s="69" t="n"/>
    </row>
    <row r="27" ht="18" customHeight="1">
      <c r="B27" s="42" t="n">
        <v>23</v>
      </c>
      <c r="C27" s="66" t="n"/>
      <c r="D27" s="66" t="n"/>
      <c r="E27" s="66" t="n"/>
      <c r="F27" s="66" t="n"/>
      <c r="G27" s="66" t="n"/>
      <c r="H27" s="67" t="n"/>
      <c r="I27" s="68" t="n"/>
      <c r="J27" s="66" t="n"/>
      <c r="K27" s="66" t="n"/>
    </row>
    <row r="28" ht="18" customHeight="1">
      <c r="B28" s="42" t="n">
        <v>24</v>
      </c>
      <c r="C28" s="69" t="n"/>
      <c r="D28" s="69" t="n"/>
      <c r="E28" s="69" t="n"/>
      <c r="F28" s="69" t="n"/>
      <c r="G28" s="69" t="n"/>
      <c r="H28" s="70" t="n"/>
      <c r="I28" s="71" t="n"/>
      <c r="J28" s="69" t="n"/>
      <c r="K28" s="69" t="n"/>
    </row>
    <row r="29" ht="18" customHeight="1">
      <c r="B29" s="42" t="n">
        <v>25</v>
      </c>
      <c r="C29" s="66" t="n"/>
      <c r="D29" s="66" t="n"/>
      <c r="E29" s="66" t="n"/>
      <c r="F29" s="66" t="n"/>
      <c r="G29" s="66" t="n"/>
      <c r="H29" s="67" t="n"/>
      <c r="I29" s="68" t="n"/>
      <c r="J29" s="66" t="n"/>
      <c r="K29" s="66" t="n"/>
    </row>
    <row r="30" ht="18" customHeight="1">
      <c r="B30" s="42" t="n">
        <v>26</v>
      </c>
      <c r="C30" s="69" t="n"/>
      <c r="D30" s="69" t="n"/>
      <c r="E30" s="69" t="n"/>
      <c r="F30" s="69" t="n"/>
      <c r="G30" s="69" t="n"/>
      <c r="H30" s="70" t="n"/>
      <c r="I30" s="71" t="n"/>
      <c r="J30" s="69" t="n"/>
      <c r="K30" s="69" t="n"/>
    </row>
    <row r="31" ht="18" customHeight="1">
      <c r="B31" s="42" t="n">
        <v>27</v>
      </c>
      <c r="C31" s="66" t="n"/>
      <c r="D31" s="66" t="n"/>
      <c r="E31" s="66" t="n"/>
      <c r="F31" s="66" t="n"/>
      <c r="G31" s="66" t="n"/>
      <c r="H31" s="67" t="n"/>
      <c r="I31" s="68" t="n"/>
      <c r="J31" s="66" t="n"/>
      <c r="K31" s="66" t="n"/>
    </row>
    <row r="32" ht="18" customHeight="1">
      <c r="B32" s="42" t="n">
        <v>28</v>
      </c>
      <c r="C32" s="69" t="n"/>
      <c r="D32" s="69" t="n"/>
      <c r="E32" s="69" t="n"/>
      <c r="F32" s="69" t="n"/>
      <c r="G32" s="69" t="n"/>
      <c r="H32" s="70" t="n"/>
      <c r="I32" s="71" t="n"/>
      <c r="J32" s="69" t="n"/>
      <c r="K32" s="69" t="n"/>
    </row>
    <row r="33" ht="18" customHeight="1">
      <c r="B33" s="42" t="n">
        <v>29</v>
      </c>
      <c r="C33" s="66" t="n"/>
      <c r="D33" s="66" t="n"/>
      <c r="E33" s="66" t="n"/>
      <c r="F33" s="66" t="n"/>
      <c r="G33" s="66" t="n"/>
      <c r="H33" s="67" t="n"/>
      <c r="I33" s="68" t="n"/>
      <c r="J33" s="66" t="n"/>
      <c r="K33" s="66" t="n"/>
    </row>
    <row r="34" ht="18" customHeight="1">
      <c r="B34" s="42" t="n">
        <v>30</v>
      </c>
      <c r="C34" s="69" t="n"/>
      <c r="D34" s="69" t="n"/>
      <c r="E34" s="69" t="n"/>
      <c r="F34" s="69" t="n"/>
      <c r="G34" s="69" t="n"/>
      <c r="H34" s="70" t="n"/>
      <c r="I34" s="71" t="n"/>
      <c r="J34" s="69" t="n"/>
      <c r="K34" s="69" t="n"/>
    </row>
    <row r="35" ht="18" customHeight="1">
      <c r="B35" s="42" t="n">
        <v>31</v>
      </c>
      <c r="C35" s="66" t="n"/>
      <c r="D35" s="66" t="n"/>
      <c r="E35" s="66" t="n"/>
      <c r="F35" s="66" t="n"/>
      <c r="G35" s="66" t="n"/>
      <c r="H35" s="67" t="n"/>
      <c r="I35" s="68" t="n"/>
      <c r="J35" s="66" t="n"/>
      <c r="K35" s="66" t="n"/>
    </row>
    <row r="36" ht="18" customHeight="1">
      <c r="B36" s="42" t="n">
        <v>32</v>
      </c>
      <c r="C36" s="69" t="n"/>
      <c r="D36" s="69" t="n"/>
      <c r="E36" s="69" t="n"/>
      <c r="F36" s="69" t="n"/>
      <c r="G36" s="69" t="n"/>
      <c r="H36" s="70" t="n"/>
      <c r="I36" s="71" t="n"/>
      <c r="J36" s="69" t="n"/>
      <c r="K36" s="69" t="n"/>
    </row>
    <row r="37" ht="18" customHeight="1">
      <c r="B37" s="42" t="n">
        <v>33</v>
      </c>
      <c r="C37" s="66" t="n"/>
      <c r="D37" s="66" t="n"/>
      <c r="E37" s="66" t="n"/>
      <c r="F37" s="66" t="n"/>
      <c r="G37" s="66" t="n"/>
      <c r="H37" s="67" t="n"/>
      <c r="I37" s="68" t="n"/>
      <c r="J37" s="66" t="n"/>
      <c r="K37" s="66" t="n"/>
    </row>
    <row r="38" ht="18" customHeight="1">
      <c r="B38" s="42" t="n">
        <v>34</v>
      </c>
      <c r="C38" s="69" t="n"/>
      <c r="D38" s="69" t="n"/>
      <c r="E38" s="69" t="n"/>
      <c r="F38" s="69" t="n"/>
      <c r="G38" s="69" t="n"/>
      <c r="H38" s="70" t="n"/>
      <c r="I38" s="71" t="n"/>
      <c r="J38" s="69" t="n"/>
      <c r="K38" s="69" t="n"/>
    </row>
    <row r="39" ht="18" customHeight="1">
      <c r="B39" s="42" t="n">
        <v>35</v>
      </c>
      <c r="C39" s="66" t="n"/>
      <c r="D39" s="66" t="n"/>
      <c r="E39" s="66" t="n"/>
      <c r="F39" s="66" t="n"/>
      <c r="G39" s="66" t="n"/>
      <c r="H39" s="67" t="n"/>
      <c r="I39" s="68" t="n"/>
      <c r="J39" s="66" t="n"/>
      <c r="K39" s="66" t="n"/>
    </row>
    <row r="40" ht="18" customHeight="1">
      <c r="B40" s="42" t="n">
        <v>36</v>
      </c>
      <c r="C40" s="69" t="n"/>
      <c r="D40" s="69" t="n"/>
      <c r="E40" s="69" t="n"/>
      <c r="F40" s="69" t="n"/>
      <c r="G40" s="69" t="n"/>
      <c r="H40" s="70" t="n"/>
      <c r="I40" s="71" t="n"/>
      <c r="J40" s="69" t="n"/>
      <c r="K40" s="69" t="n"/>
    </row>
    <row r="41" ht="18" customHeight="1">
      <c r="B41" s="42" t="n">
        <v>37</v>
      </c>
      <c r="C41" s="66" t="n"/>
      <c r="D41" s="66" t="n"/>
      <c r="E41" s="66" t="n"/>
      <c r="F41" s="66" t="n"/>
      <c r="G41" s="66" t="n"/>
      <c r="H41" s="67" t="n"/>
      <c r="I41" s="68" t="n"/>
      <c r="J41" s="66" t="n"/>
      <c r="K41" s="66" t="n"/>
    </row>
    <row r="42" ht="18" customHeight="1">
      <c r="B42" s="42" t="n">
        <v>38</v>
      </c>
      <c r="C42" s="69" t="n"/>
      <c r="D42" s="69" t="n"/>
      <c r="E42" s="69" t="n"/>
      <c r="F42" s="69" t="n"/>
      <c r="G42" s="69" t="n"/>
      <c r="H42" s="70" t="n"/>
      <c r="I42" s="71" t="n"/>
      <c r="J42" s="69" t="n"/>
      <c r="K42" s="69" t="n"/>
    </row>
    <row r="43" ht="18" customHeight="1">
      <c r="B43" s="42" t="n">
        <v>39</v>
      </c>
      <c r="C43" s="66" t="n"/>
      <c r="D43" s="66" t="n"/>
      <c r="E43" s="66" t="n"/>
      <c r="F43" s="66" t="n"/>
      <c r="G43" s="66" t="n"/>
      <c r="H43" s="67" t="n"/>
      <c r="I43" s="68" t="n"/>
      <c r="J43" s="66" t="n"/>
      <c r="K43" s="66" t="n"/>
    </row>
    <row r="44" ht="18" customHeight="1">
      <c r="B44" s="42" t="n">
        <v>40</v>
      </c>
      <c r="C44" s="69" t="n"/>
      <c r="D44" s="69" t="n"/>
      <c r="E44" s="69" t="n"/>
      <c r="F44" s="69" t="n"/>
      <c r="G44" s="69" t="n"/>
      <c r="H44" s="70" t="n"/>
      <c r="I44" s="71" t="n"/>
      <c r="J44" s="69" t="n"/>
      <c r="K44" s="69" t="n"/>
    </row>
    <row r="45" ht="18" customHeight="1">
      <c r="B45" s="42" t="n">
        <v>41</v>
      </c>
      <c r="C45" s="66" t="n"/>
      <c r="D45" s="66" t="n"/>
      <c r="E45" s="66" t="n"/>
      <c r="F45" s="66" t="n"/>
      <c r="G45" s="66" t="n"/>
      <c r="H45" s="67" t="n"/>
      <c r="I45" s="68" t="n"/>
      <c r="J45" s="66" t="n"/>
      <c r="K45" s="66" t="n"/>
    </row>
    <row r="46" ht="18" customHeight="1">
      <c r="B46" s="42" t="n">
        <v>42</v>
      </c>
      <c r="C46" s="69" t="n"/>
      <c r="D46" s="69" t="n"/>
      <c r="E46" s="69" t="n"/>
      <c r="F46" s="69" t="n"/>
      <c r="G46" s="69" t="n"/>
      <c r="H46" s="70" t="n"/>
      <c r="I46" s="71" t="n"/>
      <c r="J46" s="69" t="n"/>
      <c r="K46" s="69" t="n"/>
    </row>
    <row r="47" ht="18" customHeight="1">
      <c r="B47" s="42" t="n">
        <v>43</v>
      </c>
      <c r="C47" s="66" t="n"/>
      <c r="D47" s="66" t="n"/>
      <c r="E47" s="66" t="n"/>
      <c r="F47" s="66" t="n"/>
      <c r="G47" s="66" t="n"/>
      <c r="H47" s="67" t="n"/>
      <c r="I47" s="68" t="n"/>
      <c r="J47" s="66" t="n"/>
      <c r="K47" s="66" t="n"/>
    </row>
    <row r="48" ht="18" customHeight="1">
      <c r="B48" s="42" t="n">
        <v>44</v>
      </c>
      <c r="C48" s="69" t="n"/>
      <c r="D48" s="69" t="n"/>
      <c r="E48" s="69" t="n"/>
      <c r="F48" s="69" t="n"/>
      <c r="G48" s="69" t="n"/>
      <c r="H48" s="70" t="n"/>
      <c r="I48" s="71" t="n"/>
      <c r="J48" s="69" t="n"/>
      <c r="K48" s="69" t="n"/>
    </row>
    <row r="49" ht="18" customHeight="1">
      <c r="B49" s="42" t="n">
        <v>45</v>
      </c>
      <c r="C49" s="66" t="n"/>
      <c r="D49" s="66" t="n"/>
      <c r="E49" s="66" t="n"/>
      <c r="F49" s="66" t="n"/>
      <c r="G49" s="66" t="n"/>
      <c r="H49" s="67" t="n"/>
      <c r="I49" s="68" t="n"/>
      <c r="J49" s="66" t="n"/>
      <c r="K49" s="66" t="n"/>
    </row>
    <row r="50" ht="18" customHeight="1">
      <c r="B50" s="42" t="n">
        <v>46</v>
      </c>
      <c r="C50" s="69" t="n"/>
      <c r="D50" s="69" t="n"/>
      <c r="E50" s="69" t="n"/>
      <c r="F50" s="69" t="n"/>
      <c r="G50" s="69" t="n"/>
      <c r="H50" s="70" t="n"/>
      <c r="I50" s="71" t="n"/>
      <c r="J50" s="69" t="n"/>
      <c r="K50" s="69" t="n"/>
    </row>
    <row r="51" ht="18" customHeight="1">
      <c r="B51" s="42" t="n">
        <v>47</v>
      </c>
      <c r="C51" s="66" t="n"/>
      <c r="D51" s="66" t="n"/>
      <c r="E51" s="66" t="n"/>
      <c r="F51" s="66" t="n"/>
      <c r="G51" s="66" t="n"/>
      <c r="H51" s="67" t="n"/>
      <c r="I51" s="68" t="n"/>
      <c r="J51" s="66" t="n"/>
      <c r="K51" s="66" t="n"/>
    </row>
    <row r="52" ht="18" customHeight="1">
      <c r="B52" s="42" t="n">
        <v>48</v>
      </c>
      <c r="C52" s="69" t="n"/>
      <c r="D52" s="69" t="n"/>
      <c r="E52" s="69" t="n"/>
      <c r="F52" s="69" t="n"/>
      <c r="G52" s="69" t="n"/>
      <c r="H52" s="70" t="n"/>
      <c r="I52" s="71" t="n"/>
      <c r="J52" s="69" t="n"/>
      <c r="K52" s="69" t="n"/>
    </row>
    <row r="53" ht="18" customHeight="1">
      <c r="B53" s="42" t="n">
        <v>49</v>
      </c>
      <c r="C53" s="66" t="n"/>
      <c r="D53" s="66" t="n"/>
      <c r="E53" s="66" t="n"/>
      <c r="F53" s="66" t="n"/>
      <c r="G53" s="66" t="n"/>
      <c r="H53" s="67" t="n"/>
      <c r="I53" s="68" t="n"/>
      <c r="J53" s="66" t="n"/>
      <c r="K53" s="66" t="n"/>
    </row>
    <row r="54" ht="18" customHeight="1">
      <c r="B54" s="42" t="n">
        <v>50</v>
      </c>
      <c r="C54" s="69" t="n"/>
      <c r="D54" s="69" t="n"/>
      <c r="E54" s="69" t="n"/>
      <c r="F54" s="69" t="n"/>
      <c r="G54" s="69" t="n"/>
      <c r="H54" s="70" t="n"/>
      <c r="I54" s="71" t="n"/>
      <c r="J54" s="69" t="n"/>
      <c r="K54" s="69" t="n"/>
    </row>
    <row r="55" ht="18" customHeight="1">
      <c r="B55" s="42" t="n">
        <v>51</v>
      </c>
      <c r="C55" s="66" t="n"/>
      <c r="D55" s="66" t="n"/>
      <c r="E55" s="66" t="n"/>
      <c r="F55" s="66" t="n"/>
      <c r="G55" s="66" t="n"/>
      <c r="H55" s="67" t="n"/>
      <c r="I55" s="68" t="n"/>
      <c r="J55" s="66" t="n"/>
      <c r="K55" s="66" t="n"/>
    </row>
    <row r="56" ht="18" customHeight="1">
      <c r="B56" s="42" t="n">
        <v>52</v>
      </c>
      <c r="C56" s="69" t="n"/>
      <c r="D56" s="69" t="n"/>
      <c r="E56" s="69" t="n"/>
      <c r="F56" s="69" t="n"/>
      <c r="G56" s="69" t="n"/>
      <c r="H56" s="70" t="n"/>
      <c r="I56" s="71" t="n"/>
      <c r="J56" s="69" t="n"/>
      <c r="K56" s="69" t="n"/>
    </row>
    <row r="57" ht="18" customHeight="1">
      <c r="B57" s="42" t="n">
        <v>53</v>
      </c>
      <c r="C57" s="66" t="n"/>
      <c r="D57" s="66" t="n"/>
      <c r="E57" s="66" t="n"/>
      <c r="F57" s="66" t="n"/>
      <c r="G57" s="66" t="n"/>
      <c r="H57" s="67" t="n"/>
      <c r="I57" s="68" t="n"/>
      <c r="J57" s="66" t="n"/>
      <c r="K57" s="66" t="n"/>
    </row>
    <row r="58" ht="18" customHeight="1">
      <c r="B58" s="42" t="n">
        <v>54</v>
      </c>
      <c r="C58" s="69" t="n"/>
      <c r="D58" s="69" t="n"/>
      <c r="E58" s="69" t="n"/>
      <c r="F58" s="69" t="n"/>
      <c r="G58" s="69" t="n"/>
      <c r="H58" s="70" t="n"/>
      <c r="I58" s="71" t="n"/>
      <c r="J58" s="69" t="n"/>
      <c r="K58" s="69" t="n"/>
    </row>
    <row r="59" ht="18" customHeight="1">
      <c r="B59" s="42" t="n">
        <v>55</v>
      </c>
      <c r="C59" s="66" t="n"/>
      <c r="D59" s="66" t="n"/>
      <c r="E59" s="66" t="n"/>
      <c r="F59" s="66" t="n"/>
      <c r="G59" s="66" t="n"/>
      <c r="H59" s="67" t="n"/>
      <c r="I59" s="68" t="n"/>
      <c r="J59" s="66" t="n"/>
      <c r="K59" s="66" t="n"/>
    </row>
    <row r="60" ht="18" customHeight="1">
      <c r="B60" s="42" t="n">
        <v>56</v>
      </c>
      <c r="C60" s="69" t="n"/>
      <c r="D60" s="69" t="n"/>
      <c r="E60" s="69" t="n"/>
      <c r="F60" s="69" t="n"/>
      <c r="G60" s="69" t="n"/>
      <c r="H60" s="70" t="n"/>
      <c r="I60" s="71" t="n"/>
      <c r="J60" s="69" t="n"/>
      <c r="K60" s="69" t="n"/>
    </row>
    <row r="61" ht="18" customHeight="1">
      <c r="B61" s="42" t="n">
        <v>57</v>
      </c>
      <c r="C61" s="66" t="n"/>
      <c r="D61" s="66" t="n"/>
      <c r="E61" s="66" t="n"/>
      <c r="F61" s="66" t="n"/>
      <c r="G61" s="66" t="n"/>
      <c r="H61" s="67" t="n"/>
      <c r="I61" s="68" t="n"/>
      <c r="J61" s="66" t="n"/>
      <c r="K61" s="66" t="n"/>
    </row>
    <row r="62" ht="18" customHeight="1">
      <c r="B62" s="42" t="n">
        <v>58</v>
      </c>
      <c r="C62" s="69" t="n"/>
      <c r="D62" s="69" t="n"/>
      <c r="E62" s="69" t="n"/>
      <c r="F62" s="69" t="n"/>
      <c r="G62" s="69" t="n"/>
      <c r="H62" s="70" t="n"/>
      <c r="I62" s="71" t="n"/>
      <c r="J62" s="69" t="n"/>
      <c r="K62" s="69" t="n"/>
    </row>
    <row r="63" ht="18" customHeight="1">
      <c r="B63" s="42" t="n">
        <v>59</v>
      </c>
      <c r="C63" s="66" t="n"/>
      <c r="D63" s="66" t="n"/>
      <c r="E63" s="66" t="n"/>
      <c r="F63" s="66" t="n"/>
      <c r="G63" s="66" t="n"/>
      <c r="H63" s="67" t="n"/>
      <c r="I63" s="68" t="n"/>
      <c r="J63" s="66" t="n"/>
      <c r="K63" s="66" t="n"/>
    </row>
    <row r="64" ht="18" customHeight="1">
      <c r="B64" s="42" t="n">
        <v>60</v>
      </c>
      <c r="C64" s="69" t="n"/>
      <c r="D64" s="69" t="n"/>
      <c r="E64" s="69" t="n"/>
      <c r="F64" s="69" t="n"/>
      <c r="G64" s="69" t="n"/>
      <c r="H64" s="70" t="n"/>
      <c r="I64" s="71" t="n"/>
      <c r="J64" s="69" t="n"/>
      <c r="K64" s="69" t="n"/>
    </row>
    <row r="65" ht="18" customHeight="1">
      <c r="B65" s="42" t="n">
        <v>61</v>
      </c>
      <c r="C65" s="66" t="n"/>
      <c r="D65" s="66" t="n"/>
      <c r="E65" s="66" t="n"/>
      <c r="F65" s="66" t="n"/>
      <c r="G65" s="66" t="n"/>
      <c r="H65" s="67" t="n"/>
      <c r="I65" s="68" t="n"/>
      <c r="J65" s="66" t="n"/>
      <c r="K65" s="66" t="n"/>
    </row>
    <row r="66" ht="18" customHeight="1">
      <c r="B66" s="42" t="n">
        <v>62</v>
      </c>
      <c r="C66" s="69" t="n"/>
      <c r="D66" s="69" t="n"/>
      <c r="E66" s="69" t="n"/>
      <c r="F66" s="69" t="n"/>
      <c r="G66" s="69" t="n"/>
      <c r="H66" s="70" t="n"/>
      <c r="I66" s="71" t="n"/>
      <c r="J66" s="69" t="n"/>
      <c r="K66" s="69" t="n"/>
    </row>
    <row r="67" ht="18" customHeight="1">
      <c r="B67" s="42" t="n">
        <v>63</v>
      </c>
      <c r="C67" s="66" t="n"/>
      <c r="D67" s="66" t="n"/>
      <c r="E67" s="66" t="n"/>
      <c r="F67" s="66" t="n"/>
      <c r="G67" s="66" t="n"/>
      <c r="H67" s="67" t="n"/>
      <c r="I67" s="68" t="n"/>
      <c r="J67" s="66" t="n"/>
      <c r="K67" s="66" t="n"/>
    </row>
    <row r="68" ht="18" customHeight="1">
      <c r="B68" s="42" t="n">
        <v>64</v>
      </c>
      <c r="C68" s="69" t="n"/>
      <c r="D68" s="69" t="n"/>
      <c r="E68" s="69" t="n"/>
      <c r="F68" s="69" t="n"/>
      <c r="G68" s="69" t="n"/>
      <c r="H68" s="70" t="n"/>
      <c r="I68" s="71" t="n"/>
      <c r="J68" s="69" t="n"/>
      <c r="K68" s="69" t="n"/>
    </row>
    <row r="69" ht="18" customHeight="1">
      <c r="B69" s="42" t="n">
        <v>65</v>
      </c>
      <c r="C69" s="66" t="n"/>
      <c r="D69" s="66" t="n"/>
      <c r="E69" s="66" t="n"/>
      <c r="F69" s="66" t="n"/>
      <c r="G69" s="66" t="n"/>
      <c r="H69" s="67" t="n"/>
      <c r="I69" s="68" t="n"/>
      <c r="J69" s="66" t="n"/>
      <c r="K69" s="66" t="n"/>
    </row>
    <row r="70" ht="18" customHeight="1">
      <c r="B70" s="42" t="n">
        <v>66</v>
      </c>
      <c r="C70" s="69" t="n"/>
      <c r="D70" s="69" t="n"/>
      <c r="E70" s="69" t="n"/>
      <c r="F70" s="69" t="n"/>
      <c r="G70" s="69" t="n"/>
      <c r="H70" s="70" t="n"/>
      <c r="I70" s="71" t="n"/>
      <c r="J70" s="69" t="n"/>
      <c r="K70" s="69" t="n"/>
    </row>
    <row r="71" ht="18" customHeight="1">
      <c r="B71" s="42" t="n">
        <v>67</v>
      </c>
      <c r="C71" s="66" t="n"/>
      <c r="D71" s="66" t="n"/>
      <c r="E71" s="66" t="n"/>
      <c r="F71" s="66" t="n"/>
      <c r="G71" s="66" t="n"/>
      <c r="H71" s="67" t="n"/>
      <c r="I71" s="68" t="n"/>
      <c r="J71" s="66" t="n"/>
      <c r="K71" s="66" t="n"/>
    </row>
    <row r="72" ht="18" customHeight="1">
      <c r="B72" s="42" t="n">
        <v>68</v>
      </c>
      <c r="C72" s="69" t="n"/>
      <c r="D72" s="69" t="n"/>
      <c r="E72" s="69" t="n"/>
      <c r="F72" s="69" t="n"/>
      <c r="G72" s="69" t="n"/>
      <c r="H72" s="70" t="n"/>
      <c r="I72" s="71" t="n"/>
      <c r="J72" s="69" t="n"/>
      <c r="K72" s="69" t="n"/>
    </row>
    <row r="73" ht="18" customHeight="1">
      <c r="B73" s="42" t="n">
        <v>69</v>
      </c>
      <c r="C73" s="66" t="n"/>
      <c r="D73" s="66" t="n"/>
      <c r="E73" s="66" t="n"/>
      <c r="F73" s="66" t="n"/>
      <c r="G73" s="66" t="n"/>
      <c r="H73" s="67" t="n"/>
      <c r="I73" s="68" t="n"/>
      <c r="J73" s="66" t="n"/>
      <c r="K73" s="66" t="n"/>
    </row>
    <row r="74" ht="18" customHeight="1">
      <c r="B74" s="42" t="n">
        <v>70</v>
      </c>
      <c r="C74" s="69" t="n"/>
      <c r="D74" s="69" t="n"/>
      <c r="E74" s="69" t="n"/>
      <c r="F74" s="69" t="n"/>
      <c r="G74" s="69" t="n"/>
      <c r="H74" s="70" t="n"/>
      <c r="I74" s="71" t="n"/>
      <c r="J74" s="69" t="n"/>
      <c r="K74" s="69" t="n"/>
    </row>
    <row r="75" ht="18" customHeight="1">
      <c r="B75" s="42" t="n">
        <v>71</v>
      </c>
      <c r="C75" s="66" t="n"/>
      <c r="D75" s="66" t="n"/>
      <c r="E75" s="66" t="n"/>
      <c r="F75" s="66" t="n"/>
      <c r="G75" s="66" t="n"/>
      <c r="H75" s="67" t="n"/>
      <c r="I75" s="68" t="n"/>
      <c r="J75" s="66" t="n"/>
      <c r="K75" s="66" t="n"/>
    </row>
    <row r="76" ht="18" customHeight="1">
      <c r="B76" s="42" t="n">
        <v>72</v>
      </c>
      <c r="C76" s="69" t="n"/>
      <c r="D76" s="69" t="n"/>
      <c r="E76" s="69" t="n"/>
      <c r="F76" s="69" t="n"/>
      <c r="G76" s="69" t="n"/>
      <c r="H76" s="70" t="n"/>
      <c r="I76" s="71" t="n"/>
      <c r="J76" s="69" t="n"/>
      <c r="K76" s="69" t="n"/>
    </row>
    <row r="77" ht="18" customHeight="1">
      <c r="B77" s="42" t="n">
        <v>73</v>
      </c>
      <c r="C77" s="66" t="n"/>
      <c r="D77" s="66" t="n"/>
      <c r="E77" s="66" t="n"/>
      <c r="F77" s="66" t="n"/>
      <c r="G77" s="66" t="n"/>
      <c r="H77" s="67" t="n"/>
      <c r="I77" s="68" t="n"/>
      <c r="J77" s="66" t="n"/>
      <c r="K77" s="66" t="n"/>
    </row>
    <row r="78" ht="18" customHeight="1">
      <c r="B78" s="42" t="n">
        <v>74</v>
      </c>
      <c r="C78" s="69" t="n"/>
      <c r="D78" s="69" t="n"/>
      <c r="E78" s="69" t="n"/>
      <c r="F78" s="69" t="n"/>
      <c r="G78" s="69" t="n"/>
      <c r="H78" s="70" t="n"/>
      <c r="I78" s="71" t="n"/>
      <c r="J78" s="69" t="n"/>
      <c r="K78" s="69" t="n"/>
    </row>
    <row r="79" ht="18" customHeight="1">
      <c r="B79" s="42" t="n">
        <v>75</v>
      </c>
      <c r="C79" s="66" t="n"/>
      <c r="D79" s="66" t="n"/>
      <c r="E79" s="66" t="n"/>
      <c r="F79" s="66" t="n"/>
      <c r="G79" s="66" t="n"/>
      <c r="H79" s="67" t="n"/>
      <c r="I79" s="68" t="n"/>
      <c r="J79" s="66" t="n"/>
      <c r="K79" s="66" t="n"/>
    </row>
    <row r="80" ht="18" customHeight="1">
      <c r="B80" s="42" t="n">
        <v>76</v>
      </c>
      <c r="C80" s="69" t="n"/>
      <c r="D80" s="69" t="n"/>
      <c r="E80" s="69" t="n"/>
      <c r="F80" s="69" t="n"/>
      <c r="G80" s="69" t="n"/>
      <c r="H80" s="70" t="n"/>
      <c r="I80" s="71" t="n"/>
      <c r="J80" s="69" t="n"/>
      <c r="K80" s="69" t="n"/>
    </row>
    <row r="81" ht="18" customHeight="1">
      <c r="B81" s="42" t="n">
        <v>77</v>
      </c>
      <c r="C81" s="66" t="n"/>
      <c r="D81" s="66" t="n"/>
      <c r="E81" s="66" t="n"/>
      <c r="F81" s="66" t="n"/>
      <c r="G81" s="66" t="n"/>
      <c r="H81" s="67" t="n"/>
      <c r="I81" s="68" t="n"/>
      <c r="J81" s="66" t="n"/>
      <c r="K81" s="66" t="n"/>
    </row>
    <row r="82" ht="18" customHeight="1">
      <c r="B82" s="42" t="n">
        <v>78</v>
      </c>
      <c r="C82" s="69" t="n"/>
      <c r="D82" s="69" t="n"/>
      <c r="E82" s="69" t="n"/>
      <c r="F82" s="69" t="n"/>
      <c r="G82" s="69" t="n"/>
      <c r="H82" s="70" t="n"/>
      <c r="I82" s="71" t="n"/>
      <c r="J82" s="69" t="n"/>
      <c r="K82" s="69" t="n"/>
    </row>
    <row r="83" ht="18" customHeight="1">
      <c r="B83" s="42" t="n">
        <v>79</v>
      </c>
      <c r="C83" s="66" t="n"/>
      <c r="D83" s="66" t="n"/>
      <c r="E83" s="66" t="n"/>
      <c r="F83" s="66" t="n"/>
      <c r="G83" s="66" t="n"/>
      <c r="H83" s="67" t="n"/>
      <c r="I83" s="68" t="n"/>
      <c r="J83" s="66" t="n"/>
      <c r="K83" s="66" t="n"/>
    </row>
    <row r="84" ht="18" customHeight="1">
      <c r="B84" s="42" t="n">
        <v>80</v>
      </c>
      <c r="C84" s="69" t="n"/>
      <c r="D84" s="69" t="n"/>
      <c r="E84" s="69" t="n"/>
      <c r="F84" s="69" t="n"/>
      <c r="G84" s="69" t="n"/>
      <c r="H84" s="70" t="n"/>
      <c r="I84" s="71" t="n"/>
      <c r="J84" s="69" t="n"/>
      <c r="K84" s="69" t="n"/>
    </row>
    <row r="85" ht="18" customHeight="1">
      <c r="B85" s="42" t="n">
        <v>81</v>
      </c>
      <c r="C85" s="66" t="n"/>
      <c r="D85" s="66" t="n"/>
      <c r="E85" s="66" t="n"/>
      <c r="F85" s="66" t="n"/>
      <c r="G85" s="66" t="n"/>
      <c r="H85" s="67" t="n"/>
      <c r="I85" s="68" t="n"/>
      <c r="J85" s="66" t="n"/>
      <c r="K85" s="66" t="n"/>
    </row>
    <row r="86" ht="18" customHeight="1">
      <c r="B86" s="42" t="n">
        <v>82</v>
      </c>
      <c r="C86" s="69" t="n"/>
      <c r="D86" s="69" t="n"/>
      <c r="E86" s="69" t="n"/>
      <c r="F86" s="69" t="n"/>
      <c r="G86" s="69" t="n"/>
      <c r="H86" s="70" t="n"/>
      <c r="I86" s="71" t="n"/>
      <c r="J86" s="69" t="n"/>
      <c r="K86" s="69" t="n"/>
    </row>
    <row r="87" ht="18" customHeight="1">
      <c r="B87" s="42" t="n">
        <v>83</v>
      </c>
      <c r="C87" s="66" t="n"/>
      <c r="D87" s="66" t="n"/>
      <c r="E87" s="66" t="n"/>
      <c r="F87" s="66" t="n"/>
      <c r="G87" s="66" t="n"/>
      <c r="H87" s="67" t="n"/>
      <c r="I87" s="68" t="n"/>
      <c r="J87" s="66" t="n"/>
      <c r="K87" s="66" t="n"/>
    </row>
    <row r="88" ht="18" customHeight="1">
      <c r="B88" s="42" t="n">
        <v>84</v>
      </c>
      <c r="C88" s="69" t="n"/>
      <c r="D88" s="69" t="n"/>
      <c r="E88" s="69" t="n"/>
      <c r="F88" s="69" t="n"/>
      <c r="G88" s="69" t="n"/>
      <c r="H88" s="70" t="n"/>
      <c r="I88" s="71" t="n"/>
      <c r="J88" s="69" t="n"/>
      <c r="K88" s="69" t="n"/>
    </row>
    <row r="89" ht="18" customHeight="1">
      <c r="B89" s="42" t="n">
        <v>85</v>
      </c>
      <c r="C89" s="66" t="n"/>
      <c r="D89" s="66" t="n"/>
      <c r="E89" s="66" t="n"/>
      <c r="F89" s="66" t="n"/>
      <c r="G89" s="66" t="n"/>
      <c r="H89" s="67" t="n"/>
      <c r="I89" s="68" t="n"/>
      <c r="J89" s="66" t="n"/>
      <c r="K89" s="66" t="n"/>
    </row>
    <row r="90" ht="18" customHeight="1">
      <c r="B90" s="42" t="n">
        <v>86</v>
      </c>
      <c r="C90" s="69" t="n"/>
      <c r="D90" s="69" t="n"/>
      <c r="E90" s="69" t="n"/>
      <c r="F90" s="69" t="n"/>
      <c r="G90" s="69" t="n"/>
      <c r="H90" s="70" t="n"/>
      <c r="I90" s="71" t="n"/>
      <c r="J90" s="69" t="n"/>
      <c r="K90" s="69" t="n"/>
    </row>
    <row r="91" ht="18" customHeight="1">
      <c r="B91" s="42" t="n">
        <v>87</v>
      </c>
      <c r="C91" s="66" t="n"/>
      <c r="D91" s="66" t="n"/>
      <c r="E91" s="66" t="n"/>
      <c r="F91" s="66" t="n"/>
      <c r="G91" s="66" t="n"/>
      <c r="H91" s="67" t="n"/>
      <c r="I91" s="68" t="n"/>
      <c r="J91" s="66" t="n"/>
      <c r="K91" s="66" t="n"/>
    </row>
    <row r="92" ht="18" customHeight="1">
      <c r="B92" s="42" t="n">
        <v>88</v>
      </c>
      <c r="C92" s="69" t="n"/>
      <c r="D92" s="69" t="n"/>
      <c r="E92" s="69" t="n"/>
      <c r="F92" s="69" t="n"/>
      <c r="G92" s="69" t="n"/>
      <c r="H92" s="70" t="n"/>
      <c r="I92" s="71" t="n"/>
      <c r="J92" s="69" t="n"/>
      <c r="K92" s="69" t="n"/>
    </row>
    <row r="93" ht="18" customHeight="1">
      <c r="B93" s="42" t="n">
        <v>89</v>
      </c>
      <c r="C93" s="66" t="n"/>
      <c r="D93" s="66" t="n"/>
      <c r="E93" s="66" t="n"/>
      <c r="F93" s="66" t="n"/>
      <c r="G93" s="66" t="n"/>
      <c r="H93" s="67" t="n"/>
      <c r="I93" s="68" t="n"/>
      <c r="J93" s="66" t="n"/>
      <c r="K93" s="66" t="n"/>
    </row>
    <row r="94" ht="18" customHeight="1">
      <c r="B94" s="42" t="n">
        <v>90</v>
      </c>
      <c r="C94" s="69" t="n"/>
      <c r="D94" s="69" t="n"/>
      <c r="E94" s="69" t="n"/>
      <c r="F94" s="69" t="n"/>
      <c r="G94" s="69" t="n"/>
      <c r="H94" s="70" t="n"/>
      <c r="I94" s="71" t="n"/>
      <c r="J94" s="69" t="n"/>
      <c r="K94" s="69" t="n"/>
    </row>
    <row r="95" ht="18" customHeight="1">
      <c r="B95" s="42" t="n">
        <v>91</v>
      </c>
      <c r="C95" s="66" t="n"/>
      <c r="D95" s="66" t="n"/>
      <c r="E95" s="66" t="n"/>
      <c r="F95" s="66" t="n"/>
      <c r="G95" s="66" t="n"/>
      <c r="H95" s="67" t="n"/>
      <c r="I95" s="68" t="n"/>
      <c r="J95" s="66" t="n"/>
      <c r="K95" s="66" t="n"/>
    </row>
    <row r="96" ht="18" customHeight="1">
      <c r="B96" s="42" t="n">
        <v>92</v>
      </c>
      <c r="C96" s="69" t="n"/>
      <c r="D96" s="69" t="n"/>
      <c r="E96" s="69" t="n"/>
      <c r="F96" s="69" t="n"/>
      <c r="G96" s="69" t="n"/>
      <c r="H96" s="70" t="n"/>
      <c r="I96" s="71" t="n"/>
      <c r="J96" s="69" t="n"/>
      <c r="K96" s="69" t="n"/>
    </row>
    <row r="97" ht="18" customHeight="1">
      <c r="B97" s="42" t="n">
        <v>93</v>
      </c>
      <c r="C97" s="66" t="n"/>
      <c r="D97" s="66" t="n"/>
      <c r="E97" s="66" t="n"/>
      <c r="F97" s="66" t="n"/>
      <c r="G97" s="66" t="n"/>
      <c r="H97" s="67" t="n"/>
      <c r="I97" s="68" t="n"/>
      <c r="J97" s="66" t="n"/>
      <c r="K97" s="66" t="n"/>
    </row>
    <row r="98" ht="18" customHeight="1">
      <c r="B98" s="42" t="n">
        <v>94</v>
      </c>
      <c r="C98" s="69" t="n"/>
      <c r="D98" s="69" t="n"/>
      <c r="E98" s="69" t="n"/>
      <c r="F98" s="69" t="n"/>
      <c r="G98" s="69" t="n"/>
      <c r="H98" s="70" t="n"/>
      <c r="I98" s="71" t="n"/>
      <c r="J98" s="69" t="n"/>
      <c r="K98" s="69" t="n"/>
    </row>
    <row r="99" ht="18" customHeight="1">
      <c r="B99" s="42" t="n">
        <v>95</v>
      </c>
      <c r="C99" s="66" t="n"/>
      <c r="D99" s="66" t="n"/>
      <c r="E99" s="66" t="n"/>
      <c r="F99" s="66" t="n"/>
      <c r="G99" s="66" t="n"/>
      <c r="H99" s="67" t="n"/>
      <c r="I99" s="68" t="n"/>
      <c r="J99" s="66" t="n"/>
      <c r="K99" s="66" t="n"/>
    </row>
    <row r="100" ht="18" customHeight="1">
      <c r="B100" s="42" t="n">
        <v>96</v>
      </c>
      <c r="C100" s="69" t="n"/>
      <c r="D100" s="69" t="n"/>
      <c r="E100" s="69" t="n"/>
      <c r="F100" s="69" t="n"/>
      <c r="G100" s="69" t="n"/>
      <c r="H100" s="70" t="n"/>
      <c r="I100" s="71" t="n"/>
      <c r="J100" s="69" t="n"/>
      <c r="K100" s="69" t="n"/>
    </row>
    <row r="101" ht="18" customHeight="1">
      <c r="B101" s="42" t="n">
        <v>97</v>
      </c>
      <c r="C101" s="66" t="n"/>
      <c r="D101" s="66" t="n"/>
      <c r="E101" s="66" t="n"/>
      <c r="F101" s="66" t="n"/>
      <c r="G101" s="66" t="n"/>
      <c r="H101" s="67" t="n"/>
      <c r="I101" s="68" t="n"/>
      <c r="J101" s="66" t="n"/>
      <c r="K101" s="66" t="n"/>
    </row>
    <row r="102" ht="18" customHeight="1">
      <c r="B102" s="42" t="n">
        <v>98</v>
      </c>
      <c r="C102" s="69" t="n"/>
      <c r="D102" s="69" t="n"/>
      <c r="E102" s="69" t="n"/>
      <c r="F102" s="69" t="n"/>
      <c r="G102" s="69" t="n"/>
      <c r="H102" s="70" t="n"/>
      <c r="I102" s="71" t="n"/>
      <c r="J102" s="69" t="n"/>
      <c r="K102" s="69" t="n"/>
    </row>
    <row r="103" ht="18" customHeight="1">
      <c r="B103" s="42" t="n">
        <v>99</v>
      </c>
      <c r="C103" s="66" t="n"/>
      <c r="D103" s="66" t="n"/>
      <c r="E103" s="66" t="n"/>
      <c r="F103" s="66" t="n"/>
      <c r="G103" s="66" t="n"/>
      <c r="H103" s="67" t="n"/>
      <c r="I103" s="68" t="n"/>
      <c r="J103" s="66" t="n"/>
      <c r="K103" s="66" t="n"/>
    </row>
    <row r="104" ht="18" customHeight="1">
      <c r="B104" s="42" t="n">
        <v>100</v>
      </c>
      <c r="C104" s="69" t="n"/>
      <c r="D104" s="69" t="n"/>
      <c r="E104" s="69" t="n"/>
      <c r="F104" s="69" t="n"/>
      <c r="G104" s="69" t="n"/>
      <c r="H104" s="70" t="n"/>
      <c r="I104" s="71" t="n"/>
      <c r="J104" s="69" t="n"/>
      <c r="K104" s="69" t="n"/>
    </row>
    <row r="106" ht="24" customHeight="1">
      <c r="B106" s="72" t="inlineStr">
        <is>
          <t>ESTADOS: 🔥 Interesado  |  📞 En seguimiento  |  💰 Apartado  |  ✅ Cerrado  |  ❌ Perdido</t>
        </is>
      </c>
    </row>
  </sheetData>
  <mergeCells count="3">
    <mergeCell ref="B106:K106"/>
    <mergeCell ref="B3:K3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5" customWidth="1" min="3" max="3"/>
    <col width="40" customWidth="1" min="4" max="4"/>
    <col width="3" customWidth="1" min="5" max="5"/>
  </cols>
  <sheetData>
    <row r="1" ht="10" customHeight="1"/>
    <row r="2" ht="40" customHeight="1">
      <c r="B2" s="33" t="inlineStr">
        <is>
          <t>KPIs RECOMENDADOS — GUÍA DE MÉTRICAS</t>
        </is>
      </c>
    </row>
    <row r="4" ht="26" customHeight="1">
      <c r="B4" s="73" t="inlineStr">
        <is>
          <t>▸  FASE 1: ADQUISICIÓN DE LEADS</t>
        </is>
      </c>
    </row>
    <row r="5" ht="22" customHeight="1">
      <c r="B5" s="41" t="inlineStr">
        <is>
          <t>KPI</t>
        </is>
      </c>
      <c r="C5" s="41" t="inlineStr">
        <is>
          <t>FÓRMULA / DEFINICIÓN</t>
        </is>
      </c>
      <c r="D5" s="41" t="inlineStr">
        <is>
          <t>REFERENCIA / BENCHMARK</t>
        </is>
      </c>
    </row>
    <row r="6" ht="22" customHeight="1">
      <c r="B6" s="55" t="inlineStr">
        <is>
          <t>Costo por Lead (CPL)</t>
        </is>
      </c>
      <c r="C6" s="58" t="inlineStr">
        <is>
          <t>Inversión total / Leads generados</t>
        </is>
      </c>
      <c r="D6" s="74" t="inlineStr">
        <is>
          <t>Benchmark: &lt;$15 MXN por lead en Meta Ads</t>
        </is>
      </c>
    </row>
    <row r="7" ht="22" customHeight="1">
      <c r="B7" s="75" t="inlineStr">
        <is>
          <t>Tasa de confirmación</t>
        </is>
      </c>
      <c r="C7" s="76" t="inlineStr">
        <is>
          <t>Confirmados / Leads totales</t>
        </is>
      </c>
      <c r="D7" s="74" t="inlineStr">
        <is>
          <t>Ene 2025: 39.86% — Meta: &gt;40%</t>
        </is>
      </c>
    </row>
    <row r="8" ht="22" customHeight="1">
      <c r="B8" s="55" t="inlineStr">
        <is>
          <t>Leads por canal</t>
        </is>
      </c>
      <c r="C8" s="58" t="inlineStr">
        <is>
          <t>Desglose por fuente de tráfico</t>
        </is>
      </c>
      <c r="D8" s="74" t="inlineStr">
        <is>
          <t>Identifica tu canal más eficiente</t>
        </is>
      </c>
    </row>
    <row r="9" ht="22" customHeight="1">
      <c r="B9" s="75" t="inlineStr">
        <is>
          <t>Costo por confirmado</t>
        </is>
      </c>
      <c r="C9" s="76" t="inlineStr">
        <is>
          <t>Inversión / Confirmados</t>
        </is>
      </c>
      <c r="D9" s="74" t="inlineStr">
        <is>
          <t>Más preciso que CPL para medir calidad</t>
        </is>
      </c>
    </row>
    <row r="11" ht="26" customHeight="1">
      <c r="B11" s="77" t="inlineStr">
        <is>
          <t>▸  FASE 2: ACTIVACIÓN (DURANTE EL EVENTO)</t>
        </is>
      </c>
    </row>
    <row r="12" ht="22" customHeight="1">
      <c r="B12" s="41" t="inlineStr">
        <is>
          <t>KPI</t>
        </is>
      </c>
      <c r="C12" s="41" t="inlineStr">
        <is>
          <t>FÓRMULA / DEFINICIÓN</t>
        </is>
      </c>
      <c r="D12" s="41" t="inlineStr">
        <is>
          <t>REFERENCIA / BENCHMARK</t>
        </is>
      </c>
    </row>
    <row r="13" ht="22" customHeight="1">
      <c r="B13" s="55" t="inlineStr">
        <is>
          <t>Tasa de asistencia</t>
        </is>
      </c>
      <c r="C13" s="58" t="inlineStr">
        <is>
          <t>Visualizaciones / Confirmados</t>
        </is>
      </c>
      <c r="D13" s="74" t="inlineStr">
        <is>
          <t>Ene 2025: 15.55% — Meta: &gt;18%</t>
        </is>
      </c>
    </row>
    <row r="14" ht="22" customHeight="1">
      <c r="B14" s="75" t="inlineStr">
        <is>
          <t>Pico de audiencia</t>
        </is>
      </c>
      <c r="C14" s="76" t="inlineStr">
        <is>
          <t>Máximo simultáneo de viewers</t>
        </is>
      </c>
      <c r="D14" s="74" t="inlineStr">
        <is>
          <t>Indica el mejor momento para lanzar la oferta</t>
        </is>
      </c>
    </row>
    <row r="15" ht="22" customHeight="1">
      <c r="B15" s="55" t="inlineStr">
        <is>
          <t>Retención entre días</t>
        </is>
      </c>
      <c r="C15" s="58" t="inlineStr">
        <is>
          <t>Asistentes Día N / Asistentes Día N-1</t>
        </is>
      </c>
      <c r="D15" s="74" t="inlineStr">
        <is>
          <t>Mide el engagement del contenido</t>
        </is>
      </c>
    </row>
    <row r="16" ht="22" customHeight="1">
      <c r="B16" s="75" t="inlineStr">
        <is>
          <t>Interesados capturados</t>
        </is>
      </c>
      <c r="C16" s="76" t="inlineStr">
        <is>
          <t>Leads calientes que piden info del Black</t>
        </is>
      </c>
      <c r="D16" s="74" t="inlineStr">
        <is>
          <t>Base de datos de seguimiento</t>
        </is>
      </c>
    </row>
    <row r="17" ht="22" customHeight="1">
      <c r="B17" s="55" t="inlineStr">
        <is>
          <t>Drop-off por hora</t>
        </is>
      </c>
      <c r="C17" s="58" t="inlineStr">
        <is>
          <t>Salidas durante el evento</t>
        </is>
      </c>
      <c r="D17" s="74" t="inlineStr">
        <is>
          <t>Identifica qué contenido pierde audiencia</t>
        </is>
      </c>
    </row>
    <row r="19" ht="26" customHeight="1">
      <c r="B19" s="78" t="inlineStr">
        <is>
          <t>▸  FASE 3: CONVERSIÓN (VENTAS)</t>
        </is>
      </c>
    </row>
    <row r="20" ht="22" customHeight="1">
      <c r="B20" s="41" t="inlineStr">
        <is>
          <t>KPI</t>
        </is>
      </c>
      <c r="C20" s="41" t="inlineStr">
        <is>
          <t>FÓRMULA / DEFINICIÓN</t>
        </is>
      </c>
      <c r="D20" s="41" t="inlineStr">
        <is>
          <t>REFERENCIA / BENCHMARK</t>
        </is>
      </c>
    </row>
    <row r="21" ht="22" customHeight="1">
      <c r="B21" s="55" t="inlineStr">
        <is>
          <t>Tasa de conversión global</t>
        </is>
      </c>
      <c r="C21" s="58" t="inlineStr">
        <is>
          <t>Blacks vendidos / Leads totales</t>
        </is>
      </c>
      <c r="D21" s="74" t="inlineStr">
        <is>
          <t>Ene 2025: 0.36% — Micro pero poderosa</t>
        </is>
      </c>
    </row>
    <row r="22" ht="22" customHeight="1">
      <c r="B22" s="75" t="inlineStr">
        <is>
          <t>Conversión sobre asistentes</t>
        </is>
      </c>
      <c r="C22" s="76" t="inlineStr">
        <is>
          <t>Blacks / Asistentes</t>
        </is>
      </c>
      <c r="D22" s="74" t="inlineStr">
        <is>
          <t>Ene 2025: 0.47% — La más accionable</t>
        </is>
      </c>
    </row>
    <row r="23" ht="22" customHeight="1">
      <c r="B23" s="55" t="inlineStr">
        <is>
          <t>Ticket promedio</t>
        </is>
      </c>
      <c r="C23" s="58" t="inlineStr">
        <is>
          <t>Ingreso total / Transacciones</t>
        </is>
      </c>
      <c r="D23" s="74" t="inlineStr">
        <is>
          <t>Ene 2025: ~$23,489 MXN</t>
        </is>
      </c>
    </row>
    <row r="24" ht="22" customHeight="1">
      <c r="B24" s="75" t="inlineStr">
        <is>
          <t>Mix Simple vs Doble</t>
        </is>
      </c>
      <c r="C24" s="76" t="inlineStr">
        <is>
          <t>% de dobles del total</t>
        </is>
      </c>
      <c r="D24" s="74" t="inlineStr">
        <is>
          <t>El doble tiene mayor ingreso por transacción</t>
        </is>
      </c>
    </row>
    <row r="25" ht="22" customHeight="1">
      <c r="B25" s="55" t="inlineStr">
        <is>
          <t>Tasa de apartados</t>
        </is>
      </c>
      <c r="C25" s="58" t="inlineStr">
        <is>
          <t>Apartados / Total Black</t>
        </is>
      </c>
      <c r="D25" s="74" t="inlineStr">
        <is>
          <t>Ene 2025: 10.5% — Cuántos quedan pendientes</t>
        </is>
      </c>
    </row>
    <row r="26" ht="22" customHeight="1">
      <c r="B26" s="75" t="inlineStr">
        <is>
          <t>Costo por Black vendido</t>
        </is>
      </c>
      <c r="C26" s="76" t="inlineStr">
        <is>
          <t>Inversión publicitaria / Blacks vendidos</t>
        </is>
      </c>
      <c r="D26" s="74" t="inlineStr">
        <is>
          <t>KPI de eficiencia total de la campaña</t>
        </is>
      </c>
    </row>
    <row r="28" ht="26" customHeight="1">
      <c r="B28" s="79" t="inlineStr">
        <is>
          <t>▸  FASE 4: POST-EVENTO Y SEGUIMIENTO</t>
        </is>
      </c>
    </row>
    <row r="29" ht="22" customHeight="1">
      <c r="B29" s="41" t="inlineStr">
        <is>
          <t>KPI</t>
        </is>
      </c>
      <c r="C29" s="41" t="inlineStr">
        <is>
          <t>FÓRMULA / DEFINICIÓN</t>
        </is>
      </c>
      <c r="D29" s="41" t="inlineStr">
        <is>
          <t>REFERENCIA / BENCHMARK</t>
        </is>
      </c>
    </row>
    <row r="30" ht="22" customHeight="1">
      <c r="B30" s="55" t="inlineStr">
        <is>
          <t>Tasa de recuperación de apartados</t>
        </is>
      </c>
      <c r="C30" s="58" t="inlineStr">
        <is>
          <t>Cobros recuperados / Total apartados</t>
        </is>
      </c>
      <c r="D30" s="74" t="inlineStr">
        <is>
          <t>Meta: &gt;80% de recuperación</t>
        </is>
      </c>
    </row>
    <row r="31" ht="22" customHeight="1">
      <c r="B31" s="75" t="inlineStr">
        <is>
          <t>Ingreso proyectado total</t>
        </is>
      </c>
      <c r="C31" s="76" t="inlineStr">
        <is>
          <t>Neto + Potencial apartados (80%)</t>
        </is>
      </c>
      <c r="D31" s="74" t="inlineStr">
        <is>
          <t>Para forecast financiero</t>
        </is>
      </c>
    </row>
    <row r="32" ht="22" customHeight="1">
      <c r="B32" s="55" t="inlineStr">
        <is>
          <t>ROI de la campaña</t>
        </is>
      </c>
      <c r="C32" s="58" t="inlineStr">
        <is>
          <t>(Ingreso - Inversión) / Inversión</t>
        </is>
      </c>
      <c r="D32" s="74" t="inlineStr">
        <is>
          <t>El KPI más importante para el negocio</t>
        </is>
      </c>
    </row>
    <row r="33" ht="22" customHeight="1">
      <c r="B33" s="75" t="inlineStr">
        <is>
          <t>NPS del evento</t>
        </is>
      </c>
      <c r="C33" s="76" t="inlineStr">
        <is>
          <t>Satisfacción de los asistentes (0-10)</t>
        </is>
      </c>
      <c r="D33" s="74" t="inlineStr">
        <is>
          <t>Impacta en referidos futuros</t>
        </is>
      </c>
    </row>
    <row r="34" ht="22" customHeight="1">
      <c r="B34" s="55" t="inlineStr">
        <is>
          <t>Tiempo promedio de cierre</t>
        </is>
      </c>
      <c r="C34" s="58" t="inlineStr">
        <is>
          <t>Días desde primer contacto hasta venta</t>
        </is>
      </c>
      <c r="D34" s="74" t="inlineStr">
        <is>
          <t>Optimiza el proceso de seguimiento</t>
        </is>
      </c>
    </row>
  </sheetData>
  <mergeCells count="5">
    <mergeCell ref="B11:D11"/>
    <mergeCell ref="B28:D28"/>
    <mergeCell ref="B19:D19"/>
    <mergeCell ref="B4:D4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6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38" customWidth="1" min="3" max="3"/>
    <col width="38" customWidth="1" min="4" max="4"/>
    <col width="3" customWidth="1" min="5" max="5"/>
  </cols>
  <sheetData>
    <row r="1" ht="10" customHeight="1"/>
    <row r="2" ht="48" customHeight="1">
      <c r="B2" s="80" t="inlineStr">
        <is>
          <t>PERFIL DEL COMPRADOR — SYNERGY BLACK ACCESS</t>
        </is>
      </c>
    </row>
    <row r="3" ht="22" customHeight="1">
      <c r="B3" s="81" t="inlineStr">
        <is>
          <t>Análisis basado en el chat de WhatsApp del grupo Black MX 2025 · 210 compradores reales</t>
        </is>
      </c>
    </row>
    <row r="4" ht="10" customHeight="1"/>
    <row r="5" ht="26" customHeight="1">
      <c r="B5" s="73" t="inlineStr">
        <is>
          <t>▸  DEMOGRAFÍA</t>
        </is>
      </c>
    </row>
    <row r="6" ht="22" customHeight="1">
      <c r="B6" s="65" t="inlineStr">
        <is>
          <t>VARIABLE</t>
        </is>
      </c>
      <c r="C6" s="65" t="inlineStr">
        <is>
          <t>DATOS</t>
        </is>
      </c>
    </row>
    <row r="7" ht="22" customHeight="1">
      <c r="B7" s="9" t="inlineStr">
        <is>
          <t>Edad</t>
        </is>
      </c>
      <c r="C7" s="76" t="inlineStr">
        <is>
          <t>30 a 55 años — mayoría entre 35 y 48 años</t>
        </is>
      </c>
      <c r="D7" s="82" t="n"/>
    </row>
    <row r="8" ht="22" customHeight="1">
      <c r="B8" s="9" t="inlineStr">
        <is>
          <t>Género</t>
        </is>
      </c>
      <c r="C8" s="58" t="inlineStr">
        <is>
          <t>Mixto — ligera mayoría mujeres</t>
        </is>
      </c>
      <c r="D8" s="82" t="n"/>
    </row>
    <row r="9" ht="22" customHeight="1">
      <c r="B9" s="9" t="inlineStr">
        <is>
          <t>País</t>
        </is>
      </c>
      <c r="C9" s="76" t="inlineStr">
        <is>
          <t>México 80%  ·  USA 15%  ·  España / otros 5%</t>
        </is>
      </c>
      <c r="D9" s="82" t="n"/>
    </row>
    <row r="10" ht="22" customHeight="1">
      <c r="B10" s="9" t="inlineStr">
        <is>
          <t>Ciudades MX principales</t>
        </is>
      </c>
      <c r="C10" s="58" t="inlineStr">
        <is>
          <t>GDL · CDMX · Monterrey · Chihuahua / Cd. Juárez · Puebla · Durango · Cancún · Querétaro · Hidalgo · Oaxaca · Mérida · Aguascalientes</t>
        </is>
      </c>
      <c r="D10" s="82" t="n"/>
    </row>
    <row r="11" ht="22" customHeight="1">
      <c r="B11" s="9" t="inlineStr">
        <is>
          <t>Ciudades USA principales</t>
        </is>
      </c>
      <c r="C11" s="76" t="inlineStr">
        <is>
          <t>Los Ángeles · San Francisco · Orlando · Miami · California</t>
        </is>
      </c>
      <c r="D11" s="82" t="n"/>
    </row>
    <row r="13" ht="26" customHeight="1">
      <c r="B13" s="77" t="inlineStr">
        <is>
          <t>▸  CLUSTERS DE PROFESIÓN</t>
        </is>
      </c>
    </row>
    <row r="14" ht="22" customHeight="1">
      <c r="B14" s="65" t="inlineStr">
        <is>
          <t>CLUSTER</t>
        </is>
      </c>
      <c r="C14" s="65" t="inlineStr">
        <is>
          <t>PERFILES IDENTIFICADOS</t>
        </is>
      </c>
      <c r="D14" s="65" t="inlineStr">
        <is>
          <t>% EST.</t>
        </is>
      </c>
    </row>
    <row r="15" ht="30" customHeight="1">
      <c r="B15" s="60" t="inlineStr">
        <is>
          <t>🩺 Salud &amp; Bienestar</t>
        </is>
      </c>
      <c r="C15" s="76" t="inlineStr">
        <is>
          <t>Médicos, anestesióloga, quiropráctico, psicoterapeuta, enfermera con clínica, terapeuta holística, yoga/pilates, medicina genómica</t>
        </is>
      </c>
      <c r="D15" s="83" t="inlineStr">
        <is>
          <t>25%</t>
        </is>
      </c>
    </row>
    <row r="16" ht="30" customHeight="1">
      <c r="B16" s="60" t="inlineStr">
        <is>
          <t>🏗️ Empresarios tradicionales</t>
        </is>
      </c>
      <c r="C16" s="58" t="inlineStr">
        <is>
          <t>Construcción, distribución de alimentos, ferretería, agua, paquetería, ortopedia, florería, cerámica, moda infantil, restaurantes</t>
        </is>
      </c>
      <c r="D16" s="84" t="inlineStr">
        <is>
          <t>25%</t>
        </is>
      </c>
    </row>
    <row r="17" ht="30" customHeight="1">
      <c r="B17" s="60" t="inlineStr">
        <is>
          <t>📈 Finanzas &amp; Inversiones</t>
        </is>
      </c>
      <c r="C17" s="76" t="inlineStr">
        <is>
          <t>Traders bolsa (alumnos Cardona), inversión inmobiliaria, asesores patrimoniales, bienes raíces USA</t>
        </is>
      </c>
      <c r="D17" s="83" t="inlineStr">
        <is>
          <t>15%</t>
        </is>
      </c>
    </row>
    <row r="18" ht="30" customHeight="1">
      <c r="B18" s="60" t="inlineStr">
        <is>
          <t>🌐 Network Marketing / MLM</t>
        </is>
      </c>
      <c r="C18" s="58" t="inlineStr">
        <is>
          <t>Salud y bienestar: IMMUNOTEC, suplementos, tecnología epigenética, multinivel</t>
        </is>
      </c>
      <c r="D18" s="84" t="inlineStr">
        <is>
          <t>15%</t>
        </is>
      </c>
    </row>
    <row r="19" ht="30" customHeight="1">
      <c r="B19" s="60" t="inlineStr">
        <is>
          <t>💻 Digital &amp; Tecnología</t>
        </is>
      </c>
      <c r="C19" s="76" t="inlineStr">
        <is>
          <t>Marketing digital, IA y automatización, agencias SEO/Ads, desarrollo de negocios digitales</t>
        </is>
      </c>
      <c r="D19" s="83" t="inlineStr">
        <is>
          <t>10%</t>
        </is>
      </c>
    </row>
    <row r="20" ht="30" customHeight="1">
      <c r="B20" s="60" t="inlineStr">
        <is>
          <t>⚖️ Servicios profesionales</t>
        </is>
      </c>
      <c r="C20" s="58" t="inlineStr">
        <is>
          <t>Abogados, contadores, consultores ambientales, biólogos, consultores de seguridad e higiene</t>
        </is>
      </c>
      <c r="D20" s="84" t="inlineStr">
        <is>
          <t>5%</t>
        </is>
      </c>
    </row>
    <row r="21" ht="30" customHeight="1">
      <c r="B21" s="60" t="inlineStr">
        <is>
          <t>🎯 Coaches &amp; Formadores</t>
        </is>
      </c>
      <c r="C21" s="76" t="inlineStr">
        <is>
          <t>Coaches de alto rendimiento, desarrollo humano, formadores, speakers en proceso</t>
        </is>
      </c>
      <c r="D21" s="83" t="inlineStr">
        <is>
          <t>5%</t>
        </is>
      </c>
    </row>
    <row r="23" ht="26" customHeight="1">
      <c r="B23" s="78" t="inlineStr">
        <is>
          <t>▸  COMPORTAMIENTOS Y MOTIVACIONES CLAVE</t>
        </is>
      </c>
    </row>
    <row r="24" ht="22" customHeight="1">
      <c r="B24" s="41" t="inlineStr">
        <is>
          <t>INSIGHT</t>
        </is>
      </c>
      <c r="C24" s="41" t="inlineStr">
        <is>
          <t>DESCRIPCIÓN</t>
        </is>
      </c>
      <c r="D24" s="41" t="inlineStr">
        <is>
          <t>IMPLICACIÓN PARA VENTAS</t>
        </is>
      </c>
    </row>
    <row r="25" ht="52" customHeight="1">
      <c r="B25" s="60" t="inlineStr">
        <is>
          <t>1. Ya son compradores de educación</t>
        </is>
      </c>
      <c r="C25" s="76" t="inlineStr">
        <is>
          <t>La mayoría toma cursos con Alejandro Cardona (bolsa), Karla Zorola, Titto Gálvez, Brendon Burchard. Invierten en sí mismos de forma recurrente.</t>
        </is>
      </c>
      <c r="D25" s="74" t="inlineStr">
        <is>
          <t>El copy NO debe convencerlos de que la educación vale — ya lo creen. Debe mostrar POR QUÉ este evento es el siguiente paso lógico.</t>
        </is>
      </c>
    </row>
    <row r="26" ht="52" customHeight="1">
      <c r="B26" s="60" t="inlineStr">
        <is>
          <t>2. Quieren escalar, no empezar</t>
        </is>
      </c>
      <c r="C26" s="58" t="inlineStr">
        <is>
          <t>No son principiantes. Tienen negocios funcionando y buscan herramientas para llevarlos al siguiente nivel.</t>
        </is>
      </c>
      <c r="D26" s="74" t="inlineStr">
        <is>
          <t>Hablarle a alguien que ya arrancó y siente que está dejando dinero sobre la mesa. Evitar lenguaje de 'cero a héroe'.</t>
        </is>
      </c>
    </row>
    <row r="27" ht="52" customHeight="1">
      <c r="B27" s="60" t="inlineStr">
        <is>
          <t>3. El networking vale tanto como el contenido</t>
        </is>
      </c>
      <c r="C27" s="76" t="inlineStr">
        <is>
          <t>Desde el día 1 del chat organizaban cenas, grupos de hotel y desayunos. Compran la experiencia social tanto como la formación.</t>
        </is>
      </c>
      <c r="D27" s="74" t="inlineStr">
        <is>
          <t>'Las personas que conocerás valen más que cualquier conferencia.' Vender el acceso al ecosistema, no solo a los speakers.</t>
        </is>
      </c>
    </row>
    <row r="28" ht="52" customHeight="1">
      <c r="B28" s="60" t="inlineStr">
        <is>
          <t>4. Compran en pareja o con socio</t>
        </is>
      </c>
      <c r="C28" s="58" t="inlineStr">
        <is>
          <t>Altísima frecuencia de matrimonios y socios asistiendo juntos al evento.</t>
        </is>
      </c>
      <c r="D28" s="74" t="inlineStr">
        <is>
          <t>El Black Doble ($55,497) es su formato natural. Venderlo como decisión inteligente vs. comprar dos simples ($73,994). Ahorro real: $18,497.</t>
        </is>
      </c>
    </row>
    <row r="29" ht="52" customHeight="1">
      <c r="B29" s="60" t="inlineStr">
        <is>
          <t>5. Hay recompras — base caliente</t>
        </is>
      </c>
      <c r="C29" s="76" t="inlineStr">
        <is>
          <t>Varios miembros tenían la etiqueta 'Synergy Black 2024', indicando que son compradores del año anterior.</t>
        </is>
      </c>
      <c r="D29" s="74" t="inlineStr">
        <is>
          <t>Crear campaña específica de retención para Black 2024. Son los más fáciles de cerrar — ya vivieron la experiencia.</t>
        </is>
      </c>
    </row>
    <row r="30" ht="52" customHeight="1">
      <c r="B30" s="60" t="inlineStr">
        <is>
          <t>6. Hablan el lenguaje de Sinergéticos</t>
        </is>
      </c>
      <c r="C30" s="58" t="inlineStr">
        <is>
          <t>Usan términos como 'ecosistema', 'sinergia', '1+1=3', 'billetarse', 'victoria'. Ya son parte de la cultura.</t>
        </is>
      </c>
      <c r="D30" s="74" t="inlineStr">
        <is>
          <t>Usar ese mismo lenguaje en copys. No explicar la filosofía — ellos ya la viven.</t>
        </is>
      </c>
    </row>
    <row r="32" ht="26" customHeight="1">
      <c r="B32" s="73" t="inlineStr">
        <is>
          <t>▸  DOLORES Y DESEOS PRINCIPALES</t>
        </is>
      </c>
    </row>
    <row r="33" ht="22" customHeight="1">
      <c r="B33" s="65" t="inlineStr">
        <is>
          <t>DOLOR (lo que los frena)</t>
        </is>
      </c>
      <c r="D33" s="57" t="inlineStr">
        <is>
          <t>DESEO (lo que buscan)</t>
        </is>
      </c>
    </row>
    <row r="34" ht="28" customHeight="1">
      <c r="B34" s="58" t="inlineStr">
        <is>
          <t>✗  No saber usar redes sociales ni marketing digital</t>
        </is>
      </c>
      <c r="C34" s="82" t="n"/>
      <c r="D34" s="85" t="inlineStr">
        <is>
          <t>✓  Aprender a vender más usando internet sin depender de agencias</t>
        </is>
      </c>
    </row>
    <row r="35" ht="28" customHeight="1">
      <c r="B35" s="76" t="inlineStr">
        <is>
          <t>✗  Querer salir del empleo y vivir 100% de su negocio</t>
        </is>
      </c>
      <c r="C35" s="82" t="n"/>
      <c r="D35" s="85" t="inlineStr">
        <is>
          <t>✓  Libertad financiera y de tiempo — ser su propio jefe</t>
        </is>
      </c>
    </row>
    <row r="36" ht="28" customHeight="1">
      <c r="B36" s="58" t="inlineStr">
        <is>
          <t>✗  Querer aprender a invertir (bolsa, bienes raíces)</t>
        </is>
      </c>
      <c r="C36" s="82" t="n"/>
      <c r="D36" s="85" t="inlineStr">
        <is>
          <t>✓  Que su dinero trabaje para ellos — ingresos pasivos</t>
        </is>
      </c>
    </row>
    <row r="37" ht="28" customHeight="1">
      <c r="B37" s="76" t="inlineStr">
        <is>
          <t>✗  Sentir que su negocio está estancado</t>
        </is>
      </c>
      <c r="C37" s="82" t="n"/>
      <c r="D37" s="85" t="inlineStr">
        <is>
          <t>✓  Escalar a niveles que parecían imposibles</t>
        </is>
      </c>
    </row>
    <row r="38" ht="28" customHeight="1">
      <c r="B38" s="58" t="inlineStr">
        <is>
          <t>✗  Trabajar solos, sin red de apoyo</t>
        </is>
      </c>
      <c r="C38" s="82" t="n"/>
      <c r="D38" s="85" t="inlineStr">
        <is>
          <t>✓  Rodearse de personas de su nivel o superior</t>
        </is>
      </c>
    </row>
    <row r="39" ht="28" customHeight="1">
      <c r="B39" s="76" t="inlineStr">
        <is>
          <t>✗  Falta de estructura y capital para crecer</t>
        </is>
      </c>
      <c r="C39" s="82" t="n"/>
      <c r="D39" s="85" t="inlineStr">
        <is>
          <t>✓  Acceso a inversores, socios y oportunidades reales</t>
        </is>
      </c>
    </row>
    <row r="41" ht="26" customHeight="1">
      <c r="B41" s="78" t="inlineStr">
        <is>
          <t>▸  SEGMENTOS ESPECIALES A ACTIVAR</t>
        </is>
      </c>
    </row>
    <row r="42" ht="22" customHeight="1">
      <c r="B42" s="41" t="inlineStr">
        <is>
          <t>SEGMENTO</t>
        </is>
      </c>
      <c r="C42" s="41" t="inlineStr">
        <is>
          <t>CARACTERÍSTICA</t>
        </is>
      </c>
      <c r="D42" s="41" t="inlineStr">
        <is>
          <t>ESTRATEGIA RECOMENDADA</t>
        </is>
      </c>
    </row>
    <row r="43" ht="36" customHeight="1">
      <c r="B43" s="60" t="inlineStr">
        <is>
          <t>⭐ Recompras (Black 2024)</t>
        </is>
      </c>
      <c r="C43" s="76" t="inlineStr">
        <is>
          <t>Ya vivieron la experiencia — alta intención de volver</t>
        </is>
      </c>
      <c r="D43" s="74" t="inlineStr">
        <is>
          <t>Campaña de acceso anticipado con precio especial o beneficio exclusivo para quienes ya fueron Black</t>
        </is>
      </c>
    </row>
    <row r="44" ht="36" customHeight="1">
      <c r="B44" s="60" t="inlineStr">
        <is>
          <t>🇺🇸 Mercado USA</t>
        </is>
      </c>
      <c r="C44" s="58" t="inlineStr">
        <is>
          <t>15% del grupo era de USA — hispanos con mayor poder adquisitivo</t>
        </is>
      </c>
      <c r="D44" s="74" t="inlineStr">
        <is>
          <t>Enfatizar que es el evento de negocios en español más grande — valor único para la diáspora hispana</t>
        </is>
      </c>
    </row>
    <row r="45" ht="36" customHeight="1">
      <c r="B45" s="60" t="inlineStr">
        <is>
          <t>👫 Parejas y socios</t>
        </is>
      </c>
      <c r="C45" s="76" t="inlineStr">
        <is>
          <t>Muchos van en pareja o dúo de socios de negocio</t>
        </is>
      </c>
      <c r="D45" s="74" t="inlineStr">
        <is>
          <t>Activar el Black Doble desde el inicio — presentarlo como la opción inteligente, no como upgrade</t>
        </is>
      </c>
    </row>
    <row r="46" ht="36" customHeight="1">
      <c r="B46" s="60" t="inlineStr">
        <is>
          <t>🩺 Profesionales de salud</t>
        </is>
      </c>
      <c r="C46" s="58" t="inlineStr">
        <is>
          <t>25% del grupo — médicos, terapeutas, enfermeras con clínica</t>
        </is>
      </c>
      <c r="D46" s="74" t="inlineStr">
        <is>
          <t>Copy específico: 'Tienes la vocación, ahora construye el negocio que mereces'</t>
        </is>
      </c>
    </row>
    <row r="47" ht="36" customHeight="1">
      <c r="B47" s="60" t="inlineStr">
        <is>
          <t>📚 Alumnos de Cardona</t>
        </is>
      </c>
      <c r="C47" s="76" t="inlineStr">
        <is>
          <t>Alta presencia — ya confían en el ecosistema Sinergéticos</t>
        </is>
      </c>
      <c r="D47" s="74" t="inlineStr">
        <is>
          <t>Activar el canal de Cardona como referidor — el alumno que trae más alumnos</t>
        </is>
      </c>
    </row>
    <row r="49" ht="26" customHeight="1">
      <c r="B49" s="77" t="inlineStr">
        <is>
          <t>▸  FRASES REALES DEL CHAT — VOZ DEL CLIENTE</t>
        </is>
      </c>
    </row>
    <row r="50" ht="22" customHeight="1">
      <c r="B50" s="65" t="inlineStr">
        <is>
          <t>FRASE REAL (extraída del grupo WhatsApp)</t>
        </is>
      </c>
      <c r="D50" s="65" t="inlineStr">
        <is>
          <t>QUÉ REVELA</t>
        </is>
      </c>
    </row>
    <row r="51" ht="36" customHeight="1">
      <c r="B51" s="86" t="inlineStr">
        <is>
          <t>"Quiero hacer crecer mi ecosistema"</t>
        </is>
      </c>
      <c r="C51" s="82" t="n"/>
      <c r="D51" s="58" t="inlineStr">
        <is>
          <t>Buscan red de contactos estratégicos, no solo conocimiento</t>
        </is>
      </c>
    </row>
    <row r="52" ht="36" customHeight="1">
      <c r="B52" s="86" t="inlineStr">
        <is>
          <t>"El año pasado me cambió la vida, este año me propuse estar en el Black"</t>
        </is>
      </c>
      <c r="C52" s="82" t="n"/>
      <c r="D52" s="58" t="inlineStr">
        <is>
          <t>La experiencia del evento genera recompra — el evento en sí es el mejor argumento de venta</t>
        </is>
      </c>
    </row>
    <row r="53" ht="36" customHeight="1">
      <c r="B53" s="86" t="inlineStr">
        <is>
          <t>"Quiero aprender a llevar mi negocio más lejos e incursionar en internet"</t>
        </is>
      </c>
      <c r="C53" s="82" t="n"/>
      <c r="D53" s="58" t="inlineStr">
        <is>
          <t>El dolor de estar en el mundo físico y no saber escalar digitalmente es generalizado</t>
        </is>
      </c>
    </row>
    <row r="54" ht="36" customHeight="1">
      <c r="B54" s="86" t="inlineStr">
        <is>
          <t>"No sé de finanzas ni de inversiones, pero me interesa aprender"</t>
        </is>
      </c>
      <c r="C54" s="82" t="n"/>
      <c r="D54" s="58" t="inlineStr">
        <is>
          <t>Hay un segmento aspiracional que compra por la transformación aunque no tenga negocio grande aún</t>
        </is>
      </c>
    </row>
    <row r="55" ht="36" customHeight="1">
      <c r="B55" s="86" t="inlineStr">
        <is>
          <t>"Soy empleado y quiero renunciar gracias a mis negocios"</t>
        </is>
      </c>
      <c r="C55" s="82" t="n"/>
      <c r="D55" s="58" t="inlineStr">
        <is>
          <t>La libertad financiera como meta — el Black es el catalizador del salto</t>
        </is>
      </c>
    </row>
    <row r="56" ht="36" customHeight="1">
      <c r="B56" s="86" t="inlineStr">
        <is>
          <t>"Las conexiones que saldrán de aquí nos van a llevar al siguiente nivel"</t>
        </is>
      </c>
      <c r="C56" s="82" t="n"/>
      <c r="D56" s="58" t="inlineStr">
        <is>
          <t>Se venden el evento entre sí — el networking es el producto real</t>
        </is>
      </c>
    </row>
    <row r="58" ht="26" customHeight="1">
      <c r="B58" s="73" t="inlineStr">
        <is>
          <t>▸  RECOMENDACIONES PARA COPYS Y ESTRATEGIA</t>
        </is>
      </c>
    </row>
    <row r="59" ht="44" customHeight="1">
      <c r="B59" s="60" t="inlineStr">
        <is>
          <t>1. Ángulo principal</t>
        </is>
      </c>
      <c r="C59" s="58" t="inlineStr">
        <is>
          <t>Hablarle al empresario/profesional que ya tiene algo funcionando pero siente que el techo está cerca. NO al principiante.</t>
        </is>
      </c>
      <c r="D59" s="87" t="inlineStr">
        <is>
          <t>COPY: '¿Ya tienes negocio pero sientes que podrías ir más rápido? Esto es para ti.'</t>
        </is>
      </c>
    </row>
    <row r="60" ht="44" customHeight="1">
      <c r="B60" s="60" t="inlineStr">
        <is>
          <t>2. Prueba social</t>
        </is>
      </c>
      <c r="C60" s="76" t="inlineStr">
        <is>
          <t>Usar testimonios de compradores Black reales — especialmente médicos, empresarios y personas que volvieron por segunda vez.</t>
        </is>
      </c>
      <c r="D60" s="87" t="inlineStr">
        <is>
          <t>COPY: 'Karla, médico de Durango, va por su tercer año en Black — ¿qué sabe ella que tú aún no?'</t>
        </is>
      </c>
    </row>
    <row r="61" ht="44" customHeight="1">
      <c r="B61" s="60" t="inlineStr">
        <is>
          <t>3. Black Doble como ancla</t>
        </is>
      </c>
      <c r="C61" s="58" t="inlineStr">
        <is>
          <t>Presentar el Doble primero — hace que el Simple parezca más accesible. Ancla de precio hacia abajo.</t>
        </is>
      </c>
      <c r="D61" s="87" t="inlineStr">
        <is>
          <t>COPY: 'Ven con tu pareja o socio y ahorren $18,497 — porque los grandes negocios se construyen en equipo.'</t>
        </is>
      </c>
    </row>
    <row r="62" ht="44" customHeight="1">
      <c r="B62" s="60" t="inlineStr">
        <is>
          <t>4. Networking como promesa central</t>
        </is>
      </c>
      <c r="C62" s="76" t="inlineStr">
        <is>
          <t>No solo los speakers. La cena de gala, los desayunos y las conexiones son parte del producto.</t>
        </is>
      </c>
      <c r="D62" s="87" t="inlineStr">
        <is>
          <t>COPY: 'El contacto que harás en la cena de gala puede cambiar tu negocio para siempre.'</t>
        </is>
      </c>
    </row>
    <row r="63" ht="44" customHeight="1">
      <c r="B63" s="60" t="inlineStr">
        <is>
          <t>5. Urgencia real</t>
        </is>
      </c>
      <c r="C63" s="58" t="inlineStr">
        <is>
          <t>Los compradores organizan vuelos, hotel y logística con anticipación — la escasez de lugares Black es creíble.</t>
        </is>
      </c>
      <c r="D63" s="87" t="inlineStr">
        <is>
          <t>COPY: 'Los primeros 50 Black ya eligieron hotel. ¿Cuándo reservas el tuyo?'</t>
        </is>
      </c>
    </row>
    <row r="64" ht="44" customHeight="1">
      <c r="B64" s="60" t="inlineStr">
        <is>
          <t>6. Lenguaje a usar</t>
        </is>
      </c>
      <c r="C64" s="76" t="inlineStr">
        <is>
          <t>'Ecosistema' · 'Sinergia' · 'Siguiente nivel' · 'Escalar' · '1+1=3' · 'Capital social' · 'Victoria'</t>
        </is>
      </c>
      <c r="D64" s="87" t="inlineStr">
        <is>
          <t>Evitar: 'aprende a ganar dinero', 'hazte rico', 'curso' — usan lenguaje de comunidad, no de curso.</t>
        </is>
      </c>
    </row>
    <row r="65" ht="44" customHeight="1">
      <c r="B65" s="60" t="inlineStr">
        <is>
          <t>7. Mercado USA</t>
        </is>
      </c>
      <c r="C65" s="58" t="inlineStr">
        <is>
          <t>15% del grupo era de USA — tienen mayor poder adquisitivo y menos opciones en español.</t>
        </is>
      </c>
      <c r="D65" s="87" t="inlineStr">
        <is>
          <t>COPY: 'El evento de negocios más poderoso en español — donde la comunidad hispana juega en grande.'</t>
        </is>
      </c>
    </row>
    <row r="67" ht="24" customHeight="1">
      <c r="B67" s="32" t="inlineStr">
        <is>
          <t>💡 Análisis generado a partir del chat de WhatsApp del grupo SUMX BLACK ACCESS 2025 · Julio-Agosto 2025 · 210 compradores reales</t>
        </is>
      </c>
    </row>
  </sheetData>
  <mergeCells count="30">
    <mergeCell ref="B54:C54"/>
    <mergeCell ref="C6:D6"/>
    <mergeCell ref="B67:D67"/>
    <mergeCell ref="B23:D23"/>
    <mergeCell ref="B13:D13"/>
    <mergeCell ref="B56:C56"/>
    <mergeCell ref="B39:C39"/>
    <mergeCell ref="B52:C52"/>
    <mergeCell ref="C10:D10"/>
    <mergeCell ref="B49:D49"/>
    <mergeCell ref="C9:D9"/>
    <mergeCell ref="B53:C53"/>
    <mergeCell ref="B38:C38"/>
    <mergeCell ref="B5:D5"/>
    <mergeCell ref="B41:D41"/>
    <mergeCell ref="C11:D11"/>
    <mergeCell ref="B34:C34"/>
    <mergeCell ref="B32:D32"/>
    <mergeCell ref="B37:C37"/>
    <mergeCell ref="C8:D8"/>
    <mergeCell ref="B55:C55"/>
    <mergeCell ref="B3:D3"/>
    <mergeCell ref="C7:D7"/>
    <mergeCell ref="B33:C33"/>
    <mergeCell ref="B51:C51"/>
    <mergeCell ref="B58:D58"/>
    <mergeCell ref="B36:C36"/>
    <mergeCell ref="B50:C50"/>
    <mergeCell ref="B35:C35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2026-04-02T20:57:30Z</dcterms:created>
  <dcterms:modified xsi:type="dcterms:W3CDTF">2026-04-30T00:14:53Z</dcterms:modified>
</cp:coreProperties>
</file>